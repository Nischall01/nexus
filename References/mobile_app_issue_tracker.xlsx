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sue Log" sheetId="1" state="visible" r:id="rId3"/>
    <sheet name="Dashboard" sheetId="2" state="visible" r:id="rId4"/>
    <sheet name="Projects" sheetId="3" state="visible" r:id="rId5"/>
    <sheet name="Lists" sheetId="4" state="visible" r:id="rId6"/>
  </sheets>
  <definedNames>
    <definedName function="false" hidden="true" localSheetId="0" name="_xlnm._FilterDatabase" vbProcedure="false">'Issue Log'!$A$5:$W$205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<sst xmlns="http://schemas.openxmlformats.org/spreadsheetml/2006/main" count="123" uniqueCount="105">
  <si>
    <t xml:space="preserve">Mobile App Issue Tracker</t>
  </si>
  <si>
    <t xml:space="preserve">How to use: register projects on the 'Projects' sheet, then pick a Project for every issue and fill the cream cells. ID and Days Open fill in automatically. Row 6 is an example – overwrite it.</t>
  </si>
  <si>
    <t xml:space="preserve">Filter the Project column to see one project's issues, or use the 'Dashboard' sheet to pick a project (or All Projects) and see its summary.</t>
  </si>
  <si>
    <t xml:space="preserve">ID</t>
  </si>
  <si>
    <t xml:space="preserve">Project</t>
  </si>
  <si>
    <t xml:space="preserve">Title</t>
  </si>
  <si>
    <t xml:space="preserve">Description</t>
  </si>
  <si>
    <t xml:space="preserve">Module / Screen</t>
  </si>
  <si>
    <t xml:space="preserve">Platform</t>
  </si>
  <si>
    <t xml:space="preserve">Type</t>
  </si>
  <si>
    <t xml:space="preserve">Severity</t>
  </si>
  <si>
    <t xml:space="preserve">Priority</t>
  </si>
  <si>
    <t xml:space="preserve">Status</t>
  </si>
  <si>
    <t xml:space="preserve">Steps to Reproduce</t>
  </si>
  <si>
    <t xml:space="preserve">Expected Result</t>
  </si>
  <si>
    <t xml:space="preserve">Actual Result</t>
  </si>
  <si>
    <t xml:space="preserve">App Version / Build</t>
  </si>
  <si>
    <t xml:space="preserve">Device / OS</t>
  </si>
  <si>
    <t xml:space="preserve">Reported By</t>
  </si>
  <si>
    <t xml:space="preserve">Assigned To</t>
  </si>
  <si>
    <t xml:space="preserve">Date Reported</t>
  </si>
  <si>
    <t xml:space="preserve">Target Date</t>
  </si>
  <si>
    <t xml:space="preserve">Date Resolved</t>
  </si>
  <si>
    <t xml:space="preserve">Days Open</t>
  </si>
  <si>
    <t xml:space="preserve">Fixed in Version</t>
  </si>
  <si>
    <t xml:space="preserve">Notes / Link</t>
  </si>
  <si>
    <t xml:space="preserve">My Mobile App</t>
  </si>
  <si>
    <t xml:space="preserve">App crashes on login with Google Sign-In</t>
  </si>
  <si>
    <t xml:space="preserve">App closes immediately after selecting a Google account on the login screen.</t>
  </si>
  <si>
    <t xml:space="preserve">Login</t>
  </si>
  <si>
    <t xml:space="preserve">Android</t>
  </si>
  <si>
    <t xml:space="preserve">Crash</t>
  </si>
  <si>
    <t xml:space="preserve">Critical</t>
  </si>
  <si>
    <t xml:space="preserve">P1</t>
  </si>
  <si>
    <t xml:space="preserve">Open</t>
  </si>
  <si>
    <t xml:space="preserve">1. Open app
2. Tap 'Sign in with Google'
3. Choose an account</t>
  </si>
  <si>
    <t xml:space="preserve">User lands on Home screen</t>
  </si>
  <si>
    <t xml:space="preserve">App force-closes (NullPointerException)</t>
  </si>
  <si>
    <t xml:space="preserve">1.2.0 (45)</t>
  </si>
  <si>
    <t xml:space="preserve">Pixel 6 / Android 14</t>
  </si>
  <si>
    <t xml:space="preserve">QA Team</t>
  </si>
  <si>
    <t xml:space="preserve">Dev A</t>
  </si>
  <si>
    <t xml:space="preserve">Logcat attached in drive folder</t>
  </si>
  <si>
    <t xml:space="preserve">Issue Dashboard</t>
  </si>
  <si>
    <t xml:space="preserve">Pick a project (or All Projects) in the yellow cell. Everything on the left updates; the table on the right always shows every project.</t>
  </si>
  <si>
    <t xml:space="preserve">Project:</t>
  </si>
  <si>
    <t xml:space="preserve">All Projects</t>
  </si>
  <si>
    <t xml:space="preserve">Key Numbers</t>
  </si>
  <si>
    <t xml:space="preserve">Count</t>
  </si>
  <si>
    <t xml:space="preserve">All Projects Summary</t>
  </si>
  <si>
    <t xml:space="preserve">Total</t>
  </si>
  <si>
    <t xml:space="preserve">Crit/High Open</t>
  </si>
  <si>
    <t xml:space="preserve">Overdue</t>
  </si>
  <si>
    <t xml:space="preserve">Resolved %</t>
  </si>
  <si>
    <t xml:space="preserve">Total issues</t>
  </si>
  <si>
    <t xml:space="preserve">Open (not Resolved / Closed / Won't Fix)</t>
  </si>
  <si>
    <t xml:space="preserve">Critical &amp; High still open</t>
  </si>
  <si>
    <t xml:space="preserve">Overdue (past Target Date, unresolved)</t>
  </si>
  <si>
    <t xml:space="preserve">Reopened issues</t>
  </si>
  <si>
    <t xml:space="preserve">Average days to resolve</t>
  </si>
  <si>
    <t xml:space="preserve">Resolution rate</t>
  </si>
  <si>
    <t xml:space="preserve">By Status</t>
  </si>
  <si>
    <t xml:space="preserve">By Severity</t>
  </si>
  <si>
    <t xml:space="preserve">Total (all projects)</t>
  </si>
  <si>
    <t xml:space="preserve">By Platform</t>
  </si>
  <si>
    <t xml:space="preserve">By Type</t>
  </si>
  <si>
    <t xml:space="preserve">By Priority</t>
  </si>
  <si>
    <t xml:space="preserve">Projects</t>
  </si>
  <si>
    <t xml:space="preserve">Add each project here (one per row, up to 15). Its name then appears in the Issue Log and Dashboard dropdowns, and its Code becomes the issue ID prefix (e.g. APP-001).</t>
  </si>
  <si>
    <t xml:space="preserve">Keep Project Names unique and keep Codes short (2–5 letters). Row 6 is an example – overwrite it.</t>
  </si>
  <si>
    <t xml:space="preserve">Project Name</t>
  </si>
  <si>
    <t xml:space="preserve">Code</t>
  </si>
  <si>
    <t xml:space="preserve">Lead / Owner</t>
  </si>
  <si>
    <t xml:space="preserve">Start Date</t>
  </si>
  <si>
    <t xml:space="preserve">Notes</t>
  </si>
  <si>
    <t xml:space="preserve">APP</t>
  </si>
  <si>
    <t xml:space="preserve">Project Manager</t>
  </si>
  <si>
    <t xml:space="preserve">Example project</t>
  </si>
  <si>
    <t xml:space="preserve">Dashboard selector (auto)</t>
  </si>
  <si>
    <t xml:space="preserve">Edit the option lists to change dropdowns. Column G is automatic – don't edit.</t>
  </si>
  <si>
    <t xml:space="preserve">Bug</t>
  </si>
  <si>
    <t xml:space="preserve">New</t>
  </si>
  <si>
    <t xml:space="preserve">iOS</t>
  </si>
  <si>
    <t xml:space="preserve">High</t>
  </si>
  <si>
    <t xml:space="preserve">P2</t>
  </si>
  <si>
    <t xml:space="preserve">Both</t>
  </si>
  <si>
    <t xml:space="preserve">UI/UX</t>
  </si>
  <si>
    <t xml:space="preserve">Medium</t>
  </si>
  <si>
    <t xml:space="preserve">P3</t>
  </si>
  <si>
    <t xml:space="preserve">In Progress</t>
  </si>
  <si>
    <t xml:space="preserve">Backend/API</t>
  </si>
  <si>
    <t xml:space="preserve">Performance</t>
  </si>
  <si>
    <t xml:space="preserve">Low</t>
  </si>
  <si>
    <t xml:space="preserve">P4</t>
  </si>
  <si>
    <t xml:space="preserve">In Review</t>
  </si>
  <si>
    <t xml:space="preserve">Web/Admin</t>
  </si>
  <si>
    <t xml:space="preserve">Security</t>
  </si>
  <si>
    <t xml:space="preserve">Ready for QA</t>
  </si>
  <si>
    <t xml:space="preserve">Data/Sync</t>
  </si>
  <si>
    <t xml:space="preserve">Resolved</t>
  </si>
  <si>
    <t xml:space="preserve">Feature Request</t>
  </si>
  <si>
    <t xml:space="preserve">Closed</t>
  </si>
  <si>
    <t xml:space="preserve">Other</t>
  </si>
  <si>
    <t xml:space="preserve">Reopened</t>
  </si>
  <si>
    <t xml:space="preserve">Won't Fix</t>
  </si>
</sst>
</file>

<file path=xl/styles.xml><?xml version="1.0" encoding="utf-8"?>
<styleSheet xmlns="http://schemas.openxmlformats.org/spreadsheetml/2006/main">
  <numFmts count="5">
    <numFmt numFmtId="164" formatCode="General"/>
    <numFmt numFmtId="165" formatCode="dd\-mmm\-yyyy"/>
    <numFmt numFmtId="166" formatCode="0"/>
    <numFmt numFmtId="167" formatCode="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1"/>
      <name val="Arial"/>
      <family val="0"/>
      <charset val="1"/>
    </font>
    <font>
      <b val="true"/>
      <sz val="11"/>
      <color rgb="FF0000FF"/>
      <name val="Arial"/>
      <family val="0"/>
      <charset val="1"/>
    </font>
    <font>
      <sz val="8"/>
      <color rgb="FFFFFFFF"/>
      <name val="Arial"/>
      <family val="0"/>
      <charset val="1"/>
    </font>
    <font>
      <sz val="11"/>
      <name val="Arial"/>
      <family val="0"/>
      <charset val="1"/>
    </font>
    <font>
      <i val="true"/>
      <sz val="11"/>
      <color rgb="FF59595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FFF9DB"/>
      </patternFill>
    </fill>
    <fill>
      <patternFill patternType="solid">
        <fgColor rgb="FFFFF9DB"/>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center" vertical="top" textRotation="0" wrapText="false" indent="0" shrinkToFit="false"/>
      <protection locked="true" hidden="false"/>
    </xf>
    <xf numFmtId="166" fontId="7" fillId="3"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9DB"/>
          <bgColor rgb="FF000000"/>
        </patternFill>
      </fill>
    </dxf>
    <dxf>
      <fill>
        <patternFill patternType="solid">
          <fgColor rgb="FFC00000"/>
          <bgColor rgb="FF000000"/>
        </patternFill>
      </fill>
    </dxf>
    <dxf>
      <font>
        <name val="Arial"/>
        <charset val="1"/>
        <family val="0"/>
        <b val="1"/>
        <color rgb="FFFFFFFF"/>
      </font>
      <fill>
        <patternFill>
          <bgColor rgb="FFC00000"/>
        </patternFill>
      </fill>
    </dxf>
    <dxf>
      <font>
        <name val="Arial"/>
        <charset val="1"/>
        <family val="0"/>
        <b val="1"/>
        <color rgb="FF000000"/>
      </font>
      <fill>
        <patternFill>
          <bgColor rgb="FFF4B084"/>
        </patternFill>
      </fill>
    </dxf>
    <dxf>
      <font>
        <name val="Arial"/>
        <charset val="1"/>
        <family val="0"/>
        <b val="1"/>
        <color rgb="FF000000"/>
      </font>
      <fill>
        <patternFill>
          <bgColor rgb="FFFFE699"/>
        </patternFill>
      </fill>
    </dxf>
    <dxf>
      <font>
        <name val="Arial"/>
        <charset val="1"/>
        <family val="0"/>
        <b val="1"/>
        <color rgb="FF000000"/>
      </font>
      <fill>
        <patternFill>
          <bgColor rgb="FFC6E0B4"/>
        </patternFill>
      </fill>
    </dxf>
    <dxf>
      <font>
        <name val="Arial"/>
        <charset val="1"/>
        <family val="0"/>
        <b val="1"/>
        <color rgb="FF595959"/>
      </font>
      <fill>
        <patternFill>
          <bgColor rgb="FFD9D9D9"/>
        </patternFill>
      </fill>
    </dxf>
    <dxf>
      <font>
        <name val="Arial"/>
        <charset val="1"/>
        <family val="0"/>
        <b val="1"/>
        <color rgb="FF9C0006"/>
      </font>
      <fill>
        <patternFill>
          <bgColor rgb="FFF8CBAD"/>
        </patternFill>
      </fill>
    </dxf>
    <dxf>
      <font>
        <name val="Arial"/>
        <charset val="1"/>
        <family val="0"/>
        <b val="1"/>
        <color rgb="FF000000"/>
      </font>
      <fill>
        <patternFill>
          <bgColor rgb="FFBDD7EE"/>
        </patternFill>
      </fill>
    </dxf>
    <dxf>
      <font>
        <name val="Arial"/>
        <charset val="1"/>
        <family val="0"/>
        <b val="1"/>
        <color rgb="FFC00000"/>
      </font>
    </dxf>
    <dxf>
      <fill>
        <patternFill>
          <bgColor rgb="FFF8CBAD"/>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9DB"/>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0B4"/>
      <rgbColor rgb="FFFFE699"/>
      <rgbColor rgb="FF99CCFF"/>
      <rgbColor rgb="FFF4B084"/>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32"/>
    <col collapsed="false" customWidth="true" hidden="false" outlineLevel="0" max="4" min="4" style="0" width="40"/>
    <col collapsed="false" customWidth="true" hidden="false" outlineLevel="0" max="5" min="5" style="0" width="20"/>
    <col collapsed="false" customWidth="true" hidden="false" outlineLevel="0" max="6" min="6" style="0" width="13"/>
    <col collapsed="false" customWidth="true" hidden="false" outlineLevel="0" max="7" min="7" style="0" width="16"/>
    <col collapsed="false" customWidth="true" hidden="false" outlineLevel="0" max="8" min="8" style="0" width="11"/>
    <col collapsed="false" customWidth="true" hidden="false" outlineLevel="0" max="9" min="9" style="0" width="9"/>
    <col collapsed="false" customWidth="true" hidden="false" outlineLevel="0" max="10" min="10" style="0" width="14"/>
    <col collapsed="false" customWidth="true" hidden="false" outlineLevel="0" max="11" min="11" style="0" width="40"/>
    <col collapsed="false" customWidth="true" hidden="false" outlineLevel="0" max="13" min="12" style="0" width="28"/>
    <col collapsed="false" customWidth="true" hidden="false" outlineLevel="0" max="14" min="14" style="0" width="14"/>
    <col collapsed="false" customWidth="true" hidden="false" outlineLevel="0" max="15" min="15" style="0" width="22"/>
    <col collapsed="false" customWidth="true" hidden="false" outlineLevel="0" max="17" min="16" style="0" width="16"/>
    <col collapsed="false" customWidth="true" hidden="false" outlineLevel="0" max="20" min="18" style="0" width="13"/>
    <col collapsed="false" customWidth="true" hidden="false" outlineLevel="0" max="21" min="21" style="0" width="10"/>
    <col collapsed="false" customWidth="true" hidden="false" outlineLevel="0" max="22" min="22" style="0" width="14"/>
    <col collapsed="false" customWidth="true" hidden="false" outlineLevel="0" max="23" min="23" style="0" width="3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row>
    <row r="6" customFormat="false" ht="35.05" hidden="false" customHeight="false" outlineLevel="0" collapsed="false">
      <c r="A6" s="4" t="str">
        <f aca="false">IF(C6="","",IF(B6="","ISS",IFERROR(INDEX(Projects!$B$6:$B$20,MATCH(B6,Projects!$A$6:$A$20,0)),"ISS"))&amp;"-"&amp;TEXT(COUNTIF($B$6:B6,B6),"000"))</f>
        <v>APP-001</v>
      </c>
      <c r="B6" s="5" t="s">
        <v>26</v>
      </c>
      <c r="C6" s="6" t="s">
        <v>27</v>
      </c>
      <c r="D6" s="6" t="s">
        <v>28</v>
      </c>
      <c r="E6" s="7" t="s">
        <v>29</v>
      </c>
      <c r="F6" s="5" t="s">
        <v>30</v>
      </c>
      <c r="G6" s="5" t="s">
        <v>31</v>
      </c>
      <c r="H6" s="5" t="s">
        <v>32</v>
      </c>
      <c r="I6" s="5" t="s">
        <v>33</v>
      </c>
      <c r="J6" s="5" t="s">
        <v>34</v>
      </c>
      <c r="K6" s="6" t="s">
        <v>35</v>
      </c>
      <c r="L6" s="6" t="s">
        <v>36</v>
      </c>
      <c r="M6" s="6" t="s">
        <v>37</v>
      </c>
      <c r="N6" s="7" t="s">
        <v>38</v>
      </c>
      <c r="O6" s="6" t="s">
        <v>39</v>
      </c>
      <c r="P6" s="7" t="s">
        <v>40</v>
      </c>
      <c r="Q6" s="7" t="s">
        <v>41</v>
      </c>
      <c r="R6" s="8" t="n">
        <v>46304</v>
      </c>
      <c r="S6" s="8" t="n">
        <v>46311</v>
      </c>
      <c r="T6" s="8"/>
      <c r="U6" s="9" t="n">
        <f aca="true">IF(R6="","",IF(T6&lt;&gt;"",T6-R6,TODAY()-R6))</f>
        <v>3</v>
      </c>
      <c r="V6" s="7"/>
      <c r="W6" s="6" t="s">
        <v>42</v>
      </c>
    </row>
    <row r="7" customFormat="false" ht="15" hidden="false" customHeight="false" outlineLevel="0" collapsed="false">
      <c r="A7" s="4" t="str">
        <f aca="false">IF(C7="","",IF(B7="","ISS",IFERROR(INDEX(Projects!$B$6:$B$20,MATCH(B7,Projects!$A$6:$A$20,0)),"ISS"))&amp;"-"&amp;TEXT(COUNTIF($B$6:B7,B7),"000"))</f>
        <v/>
      </c>
      <c r="B7" s="5"/>
      <c r="C7" s="6"/>
      <c r="D7" s="6"/>
      <c r="E7" s="7"/>
      <c r="F7" s="5"/>
      <c r="G7" s="5"/>
      <c r="H7" s="5"/>
      <c r="I7" s="5"/>
      <c r="J7" s="5"/>
      <c r="K7" s="6"/>
      <c r="L7" s="6"/>
      <c r="M7" s="6"/>
      <c r="N7" s="7"/>
      <c r="O7" s="6"/>
      <c r="P7" s="7"/>
      <c r="Q7" s="7"/>
      <c r="R7" s="8"/>
      <c r="S7" s="8"/>
      <c r="T7" s="8"/>
      <c r="U7" s="9" t="str">
        <f aca="true">IF(R7="","",IF(T7&lt;&gt;"",T7-R7,TODAY()-R7))</f>
        <v/>
      </c>
      <c r="V7" s="7"/>
      <c r="W7" s="6"/>
    </row>
    <row r="8" customFormat="false" ht="15" hidden="false" customHeight="false" outlineLevel="0" collapsed="false">
      <c r="A8" s="4" t="str">
        <f aca="false">IF(C8="","",IF(B8="","ISS",IFERROR(INDEX(Projects!$B$6:$B$20,MATCH(B8,Projects!$A$6:$A$20,0)),"ISS"))&amp;"-"&amp;TEXT(COUNTIF($B$6:B8,B8),"000"))</f>
        <v/>
      </c>
      <c r="B8" s="5"/>
      <c r="C8" s="6"/>
      <c r="D8" s="6"/>
      <c r="E8" s="7"/>
      <c r="F8" s="5"/>
      <c r="G8" s="5"/>
      <c r="H8" s="5"/>
      <c r="I8" s="5"/>
      <c r="J8" s="5"/>
      <c r="K8" s="6"/>
      <c r="L8" s="6"/>
      <c r="M8" s="6"/>
      <c r="N8" s="7"/>
      <c r="O8" s="6"/>
      <c r="P8" s="7"/>
      <c r="Q8" s="7"/>
      <c r="R8" s="8"/>
      <c r="S8" s="8"/>
      <c r="T8" s="8"/>
      <c r="U8" s="9" t="str">
        <f aca="true">IF(R8="","",IF(T8&lt;&gt;"",T8-R8,TODAY()-R8))</f>
        <v/>
      </c>
      <c r="V8" s="7"/>
      <c r="W8" s="6"/>
    </row>
    <row r="9" customFormat="false" ht="15" hidden="false" customHeight="false" outlineLevel="0" collapsed="false">
      <c r="A9" s="4" t="str">
        <f aca="false">IF(C9="","",IF(B9="","ISS",IFERROR(INDEX(Projects!$B$6:$B$20,MATCH(B9,Projects!$A$6:$A$20,0)),"ISS"))&amp;"-"&amp;TEXT(COUNTIF($B$6:B9,B9),"000"))</f>
        <v/>
      </c>
      <c r="B9" s="5"/>
      <c r="C9" s="6"/>
      <c r="D9" s="6"/>
      <c r="E9" s="7"/>
      <c r="F9" s="5"/>
      <c r="G9" s="5"/>
      <c r="H9" s="5"/>
      <c r="I9" s="5"/>
      <c r="J9" s="5"/>
      <c r="K9" s="6"/>
      <c r="L9" s="6"/>
      <c r="M9" s="6"/>
      <c r="N9" s="7"/>
      <c r="O9" s="6"/>
      <c r="P9" s="7"/>
      <c r="Q9" s="7"/>
      <c r="R9" s="8"/>
      <c r="S9" s="8"/>
      <c r="T9" s="8"/>
      <c r="U9" s="9" t="str">
        <f aca="true">IF(R9="","",IF(T9&lt;&gt;"",T9-R9,TODAY()-R9))</f>
        <v/>
      </c>
      <c r="V9" s="7"/>
      <c r="W9" s="6"/>
    </row>
    <row r="10" customFormat="false" ht="15" hidden="false" customHeight="false" outlineLevel="0" collapsed="false">
      <c r="A10" s="4" t="str">
        <f aca="false">IF(C10="","",IF(B10="","ISS",IFERROR(INDEX(Projects!$B$6:$B$20,MATCH(B10,Projects!$A$6:$A$20,0)),"ISS"))&amp;"-"&amp;TEXT(COUNTIF($B$6:B10,B10),"000"))</f>
        <v/>
      </c>
      <c r="B10" s="5"/>
      <c r="C10" s="6"/>
      <c r="D10" s="6"/>
      <c r="E10" s="7"/>
      <c r="F10" s="5"/>
      <c r="G10" s="5"/>
      <c r="H10" s="5"/>
      <c r="I10" s="5"/>
      <c r="J10" s="5"/>
      <c r="K10" s="6"/>
      <c r="L10" s="6"/>
      <c r="M10" s="6"/>
      <c r="N10" s="7"/>
      <c r="O10" s="6"/>
      <c r="P10" s="7"/>
      <c r="Q10" s="7"/>
      <c r="R10" s="8"/>
      <c r="S10" s="8"/>
      <c r="T10" s="8"/>
      <c r="U10" s="9" t="str">
        <f aca="true">IF(R10="","",IF(T10&lt;&gt;"",T10-R10,TODAY()-R10))</f>
        <v/>
      </c>
      <c r="V10" s="7"/>
      <c r="W10" s="6"/>
    </row>
    <row r="11" customFormat="false" ht="15" hidden="false" customHeight="false" outlineLevel="0" collapsed="false">
      <c r="A11" s="4" t="str">
        <f aca="false">IF(C11="","",IF(B11="","ISS",IFERROR(INDEX(Projects!$B$6:$B$20,MATCH(B11,Projects!$A$6:$A$20,0)),"ISS"))&amp;"-"&amp;TEXT(COUNTIF($B$6:B11,B11),"000"))</f>
        <v/>
      </c>
      <c r="B11" s="5"/>
      <c r="C11" s="6"/>
      <c r="D11" s="6"/>
      <c r="E11" s="7"/>
      <c r="F11" s="5"/>
      <c r="G11" s="5"/>
      <c r="H11" s="5"/>
      <c r="I11" s="5"/>
      <c r="J11" s="5"/>
      <c r="K11" s="6"/>
      <c r="L11" s="6"/>
      <c r="M11" s="6"/>
      <c r="N11" s="7"/>
      <c r="O11" s="6"/>
      <c r="P11" s="7"/>
      <c r="Q11" s="7"/>
      <c r="R11" s="8"/>
      <c r="S11" s="8"/>
      <c r="T11" s="8"/>
      <c r="U11" s="9" t="str">
        <f aca="true">IF(R11="","",IF(T11&lt;&gt;"",T11-R11,TODAY()-R11))</f>
        <v/>
      </c>
      <c r="V11" s="7"/>
      <c r="W11" s="6"/>
    </row>
    <row r="12" customFormat="false" ht="15" hidden="false" customHeight="false" outlineLevel="0" collapsed="false">
      <c r="A12" s="4" t="str">
        <f aca="false">IF(C12="","",IF(B12="","ISS",IFERROR(INDEX(Projects!$B$6:$B$20,MATCH(B12,Projects!$A$6:$A$20,0)),"ISS"))&amp;"-"&amp;TEXT(COUNTIF($B$6:B12,B12),"000"))</f>
        <v/>
      </c>
      <c r="B12" s="5"/>
      <c r="C12" s="6"/>
      <c r="D12" s="6"/>
      <c r="E12" s="7"/>
      <c r="F12" s="5"/>
      <c r="G12" s="5"/>
      <c r="H12" s="5"/>
      <c r="I12" s="5"/>
      <c r="J12" s="5"/>
      <c r="K12" s="6"/>
      <c r="L12" s="6"/>
      <c r="M12" s="6"/>
      <c r="N12" s="7"/>
      <c r="O12" s="6"/>
      <c r="P12" s="7"/>
      <c r="Q12" s="7"/>
      <c r="R12" s="8"/>
      <c r="S12" s="8"/>
      <c r="T12" s="8"/>
      <c r="U12" s="9" t="str">
        <f aca="true">IF(R12="","",IF(T12&lt;&gt;"",T12-R12,TODAY()-R12))</f>
        <v/>
      </c>
      <c r="V12" s="7"/>
      <c r="W12" s="6"/>
    </row>
    <row r="13" customFormat="false" ht="15" hidden="false" customHeight="false" outlineLevel="0" collapsed="false">
      <c r="A13" s="4" t="str">
        <f aca="false">IF(C13="","",IF(B13="","ISS",IFERROR(INDEX(Projects!$B$6:$B$20,MATCH(B13,Projects!$A$6:$A$20,0)),"ISS"))&amp;"-"&amp;TEXT(COUNTIF($B$6:B13,B13),"000"))</f>
        <v/>
      </c>
      <c r="B13" s="5"/>
      <c r="C13" s="6"/>
      <c r="D13" s="6"/>
      <c r="E13" s="7"/>
      <c r="F13" s="5"/>
      <c r="G13" s="5"/>
      <c r="H13" s="5"/>
      <c r="I13" s="5"/>
      <c r="J13" s="5"/>
      <c r="K13" s="6"/>
      <c r="L13" s="6"/>
      <c r="M13" s="6"/>
      <c r="N13" s="7"/>
      <c r="O13" s="6"/>
      <c r="P13" s="7"/>
      <c r="Q13" s="7"/>
      <c r="R13" s="8"/>
      <c r="S13" s="8"/>
      <c r="T13" s="8"/>
      <c r="U13" s="9" t="str">
        <f aca="true">IF(R13="","",IF(T13&lt;&gt;"",T13-R13,TODAY()-R13))</f>
        <v/>
      </c>
      <c r="V13" s="7"/>
      <c r="W13" s="6"/>
    </row>
    <row r="14" customFormat="false" ht="15" hidden="false" customHeight="false" outlineLevel="0" collapsed="false">
      <c r="A14" s="4" t="str">
        <f aca="false">IF(C14="","",IF(B14="","ISS",IFERROR(INDEX(Projects!$B$6:$B$20,MATCH(B14,Projects!$A$6:$A$20,0)),"ISS"))&amp;"-"&amp;TEXT(COUNTIF($B$6:B14,B14),"000"))</f>
        <v/>
      </c>
      <c r="B14" s="5"/>
      <c r="C14" s="6"/>
      <c r="D14" s="6"/>
      <c r="E14" s="7"/>
      <c r="F14" s="5"/>
      <c r="G14" s="5"/>
      <c r="H14" s="5"/>
      <c r="I14" s="5"/>
      <c r="J14" s="5"/>
      <c r="K14" s="6"/>
      <c r="L14" s="6"/>
      <c r="M14" s="6"/>
      <c r="N14" s="7"/>
      <c r="O14" s="6"/>
      <c r="P14" s="7"/>
      <c r="Q14" s="7"/>
      <c r="R14" s="8"/>
      <c r="S14" s="8"/>
      <c r="T14" s="8"/>
      <c r="U14" s="9" t="str">
        <f aca="true">IF(R14="","",IF(T14&lt;&gt;"",T14-R14,TODAY()-R14))</f>
        <v/>
      </c>
      <c r="V14" s="7"/>
      <c r="W14" s="6"/>
    </row>
    <row r="15" customFormat="false" ht="15" hidden="false" customHeight="false" outlineLevel="0" collapsed="false">
      <c r="A15" s="4" t="str">
        <f aca="false">IF(C15="","",IF(B15="","ISS",IFERROR(INDEX(Projects!$B$6:$B$20,MATCH(B15,Projects!$A$6:$A$20,0)),"ISS"))&amp;"-"&amp;TEXT(COUNTIF($B$6:B15,B15),"000"))</f>
        <v/>
      </c>
      <c r="B15" s="5"/>
      <c r="C15" s="6"/>
      <c r="D15" s="6"/>
      <c r="E15" s="7"/>
      <c r="F15" s="5"/>
      <c r="G15" s="5"/>
      <c r="H15" s="5"/>
      <c r="I15" s="5"/>
      <c r="J15" s="5"/>
      <c r="K15" s="6"/>
      <c r="L15" s="6"/>
      <c r="M15" s="6"/>
      <c r="N15" s="7"/>
      <c r="O15" s="6"/>
      <c r="P15" s="7"/>
      <c r="Q15" s="7"/>
      <c r="R15" s="8"/>
      <c r="S15" s="8"/>
      <c r="T15" s="8"/>
      <c r="U15" s="9" t="str">
        <f aca="true">IF(R15="","",IF(T15&lt;&gt;"",T15-R15,TODAY()-R15))</f>
        <v/>
      </c>
      <c r="V15" s="7"/>
      <c r="W15" s="6"/>
    </row>
    <row r="16" customFormat="false" ht="15" hidden="false" customHeight="false" outlineLevel="0" collapsed="false">
      <c r="A16" s="4" t="str">
        <f aca="false">IF(C16="","",IF(B16="","ISS",IFERROR(INDEX(Projects!$B$6:$B$20,MATCH(B16,Projects!$A$6:$A$20,0)),"ISS"))&amp;"-"&amp;TEXT(COUNTIF($B$6:B16,B16),"000"))</f>
        <v/>
      </c>
      <c r="B16" s="5"/>
      <c r="C16" s="6"/>
      <c r="D16" s="6"/>
      <c r="E16" s="7"/>
      <c r="F16" s="5"/>
      <c r="G16" s="5"/>
      <c r="H16" s="5"/>
      <c r="I16" s="5"/>
      <c r="J16" s="5"/>
      <c r="K16" s="6"/>
      <c r="L16" s="6"/>
      <c r="M16" s="6"/>
      <c r="N16" s="7"/>
      <c r="O16" s="6"/>
      <c r="P16" s="7"/>
      <c r="Q16" s="7"/>
      <c r="R16" s="8"/>
      <c r="S16" s="8"/>
      <c r="T16" s="8"/>
      <c r="U16" s="9" t="str">
        <f aca="true">IF(R16="","",IF(T16&lt;&gt;"",T16-R16,TODAY()-R16))</f>
        <v/>
      </c>
      <c r="V16" s="7"/>
      <c r="W16" s="6"/>
    </row>
    <row r="17" customFormat="false" ht="15" hidden="false" customHeight="false" outlineLevel="0" collapsed="false">
      <c r="A17" s="4" t="str">
        <f aca="false">IF(C17="","",IF(B17="","ISS",IFERROR(INDEX(Projects!$B$6:$B$20,MATCH(B17,Projects!$A$6:$A$20,0)),"ISS"))&amp;"-"&amp;TEXT(COUNTIF($B$6:B17,B17),"000"))</f>
        <v/>
      </c>
      <c r="B17" s="5"/>
      <c r="C17" s="6"/>
      <c r="D17" s="6"/>
      <c r="E17" s="7"/>
      <c r="F17" s="5"/>
      <c r="G17" s="5"/>
      <c r="H17" s="5"/>
      <c r="I17" s="5"/>
      <c r="J17" s="5"/>
      <c r="K17" s="6"/>
      <c r="L17" s="6"/>
      <c r="M17" s="6"/>
      <c r="N17" s="7"/>
      <c r="O17" s="6"/>
      <c r="P17" s="7"/>
      <c r="Q17" s="7"/>
      <c r="R17" s="8"/>
      <c r="S17" s="8"/>
      <c r="T17" s="8"/>
      <c r="U17" s="9" t="str">
        <f aca="true">IF(R17="","",IF(T17&lt;&gt;"",T17-R17,TODAY()-R17))</f>
        <v/>
      </c>
      <c r="V17" s="7"/>
      <c r="W17" s="6"/>
    </row>
    <row r="18" customFormat="false" ht="15" hidden="false" customHeight="false" outlineLevel="0" collapsed="false">
      <c r="A18" s="4" t="str">
        <f aca="false">IF(C18="","",IF(B18="","ISS",IFERROR(INDEX(Projects!$B$6:$B$20,MATCH(B18,Projects!$A$6:$A$20,0)),"ISS"))&amp;"-"&amp;TEXT(COUNTIF($B$6:B18,B18),"000"))</f>
        <v/>
      </c>
      <c r="B18" s="5"/>
      <c r="C18" s="6"/>
      <c r="D18" s="6"/>
      <c r="E18" s="7"/>
      <c r="F18" s="5"/>
      <c r="G18" s="5"/>
      <c r="H18" s="5"/>
      <c r="I18" s="5"/>
      <c r="J18" s="5"/>
      <c r="K18" s="6"/>
      <c r="L18" s="6"/>
      <c r="M18" s="6"/>
      <c r="N18" s="7"/>
      <c r="O18" s="6"/>
      <c r="P18" s="7"/>
      <c r="Q18" s="7"/>
      <c r="R18" s="8"/>
      <c r="S18" s="8"/>
      <c r="T18" s="8"/>
      <c r="U18" s="9" t="str">
        <f aca="true">IF(R18="","",IF(T18&lt;&gt;"",T18-R18,TODAY()-R18))</f>
        <v/>
      </c>
      <c r="V18" s="7"/>
      <c r="W18" s="6"/>
    </row>
    <row r="19" customFormat="false" ht="15" hidden="false" customHeight="false" outlineLevel="0" collapsed="false">
      <c r="A19" s="4" t="str">
        <f aca="false">IF(C19="","",IF(B19="","ISS",IFERROR(INDEX(Projects!$B$6:$B$20,MATCH(B19,Projects!$A$6:$A$20,0)),"ISS"))&amp;"-"&amp;TEXT(COUNTIF($B$6:B19,B19),"000"))</f>
        <v/>
      </c>
      <c r="B19" s="5"/>
      <c r="C19" s="6"/>
      <c r="D19" s="6"/>
      <c r="E19" s="7"/>
      <c r="F19" s="5"/>
      <c r="G19" s="5"/>
      <c r="H19" s="5"/>
      <c r="I19" s="5"/>
      <c r="J19" s="5"/>
      <c r="K19" s="6"/>
      <c r="L19" s="6"/>
      <c r="M19" s="6"/>
      <c r="N19" s="7"/>
      <c r="O19" s="6"/>
      <c r="P19" s="7"/>
      <c r="Q19" s="7"/>
      <c r="R19" s="8"/>
      <c r="S19" s="8"/>
      <c r="T19" s="8"/>
      <c r="U19" s="9" t="str">
        <f aca="true">IF(R19="","",IF(T19&lt;&gt;"",T19-R19,TODAY()-R19))</f>
        <v/>
      </c>
      <c r="V19" s="7"/>
      <c r="W19" s="6"/>
    </row>
    <row r="20" customFormat="false" ht="15" hidden="false" customHeight="false" outlineLevel="0" collapsed="false">
      <c r="A20" s="4" t="str">
        <f aca="false">IF(C20="","",IF(B20="","ISS",IFERROR(INDEX(Projects!$B$6:$B$20,MATCH(B20,Projects!$A$6:$A$20,0)),"ISS"))&amp;"-"&amp;TEXT(COUNTIF($B$6:B20,B20),"000"))</f>
        <v/>
      </c>
      <c r="B20" s="5"/>
      <c r="C20" s="6"/>
      <c r="D20" s="6"/>
      <c r="E20" s="7"/>
      <c r="F20" s="5"/>
      <c r="G20" s="5"/>
      <c r="H20" s="5"/>
      <c r="I20" s="5"/>
      <c r="J20" s="5"/>
      <c r="K20" s="6"/>
      <c r="L20" s="6"/>
      <c r="M20" s="6"/>
      <c r="N20" s="7"/>
      <c r="O20" s="6"/>
      <c r="P20" s="7"/>
      <c r="Q20" s="7"/>
      <c r="R20" s="8"/>
      <c r="S20" s="8"/>
      <c r="T20" s="8"/>
      <c r="U20" s="9" t="str">
        <f aca="true">IF(R20="","",IF(T20&lt;&gt;"",T20-R20,TODAY()-R20))</f>
        <v/>
      </c>
      <c r="V20" s="7"/>
      <c r="W20" s="6"/>
    </row>
    <row r="21" customFormat="false" ht="15" hidden="false" customHeight="false" outlineLevel="0" collapsed="false">
      <c r="A21" s="4" t="str">
        <f aca="false">IF(C21="","",IF(B21="","ISS",IFERROR(INDEX(Projects!$B$6:$B$20,MATCH(B21,Projects!$A$6:$A$20,0)),"ISS"))&amp;"-"&amp;TEXT(COUNTIF($B$6:B21,B21),"000"))</f>
        <v/>
      </c>
      <c r="B21" s="5"/>
      <c r="C21" s="6"/>
      <c r="D21" s="6"/>
      <c r="E21" s="7"/>
      <c r="F21" s="5"/>
      <c r="G21" s="5"/>
      <c r="H21" s="5"/>
      <c r="I21" s="5"/>
      <c r="J21" s="5"/>
      <c r="K21" s="6"/>
      <c r="L21" s="6"/>
      <c r="M21" s="6"/>
      <c r="N21" s="7"/>
      <c r="O21" s="6"/>
      <c r="P21" s="7"/>
      <c r="Q21" s="7"/>
      <c r="R21" s="8"/>
      <c r="S21" s="8"/>
      <c r="T21" s="8"/>
      <c r="U21" s="9" t="str">
        <f aca="true">IF(R21="","",IF(T21&lt;&gt;"",T21-R21,TODAY()-R21))</f>
        <v/>
      </c>
      <c r="V21" s="7"/>
      <c r="W21" s="6"/>
    </row>
    <row r="22" customFormat="false" ht="15" hidden="false" customHeight="false" outlineLevel="0" collapsed="false">
      <c r="A22" s="4" t="str">
        <f aca="false">IF(C22="","",IF(B22="","ISS",IFERROR(INDEX(Projects!$B$6:$B$20,MATCH(B22,Projects!$A$6:$A$20,0)),"ISS"))&amp;"-"&amp;TEXT(COUNTIF($B$6:B22,B22),"000"))</f>
        <v/>
      </c>
      <c r="B22" s="5"/>
      <c r="C22" s="6"/>
      <c r="D22" s="6"/>
      <c r="E22" s="7"/>
      <c r="F22" s="5"/>
      <c r="G22" s="5"/>
      <c r="H22" s="5"/>
      <c r="I22" s="5"/>
      <c r="J22" s="5"/>
      <c r="K22" s="6"/>
      <c r="L22" s="6"/>
      <c r="M22" s="6"/>
      <c r="N22" s="7"/>
      <c r="O22" s="6"/>
      <c r="P22" s="7"/>
      <c r="Q22" s="7"/>
      <c r="R22" s="8"/>
      <c r="S22" s="8"/>
      <c r="T22" s="8"/>
      <c r="U22" s="9" t="str">
        <f aca="true">IF(R22="","",IF(T22&lt;&gt;"",T22-R22,TODAY()-R22))</f>
        <v/>
      </c>
      <c r="V22" s="7"/>
      <c r="W22" s="6"/>
    </row>
    <row r="23" customFormat="false" ht="15" hidden="false" customHeight="false" outlineLevel="0" collapsed="false">
      <c r="A23" s="4" t="str">
        <f aca="false">IF(C23="","",IF(B23="","ISS",IFERROR(INDEX(Projects!$B$6:$B$20,MATCH(B23,Projects!$A$6:$A$20,0)),"ISS"))&amp;"-"&amp;TEXT(COUNTIF($B$6:B23,B23),"000"))</f>
        <v/>
      </c>
      <c r="B23" s="5"/>
      <c r="C23" s="6"/>
      <c r="D23" s="6"/>
      <c r="E23" s="7"/>
      <c r="F23" s="5"/>
      <c r="G23" s="5"/>
      <c r="H23" s="5"/>
      <c r="I23" s="5"/>
      <c r="J23" s="5"/>
      <c r="K23" s="6"/>
      <c r="L23" s="6"/>
      <c r="M23" s="6"/>
      <c r="N23" s="7"/>
      <c r="O23" s="6"/>
      <c r="P23" s="7"/>
      <c r="Q23" s="7"/>
      <c r="R23" s="8"/>
      <c r="S23" s="8"/>
      <c r="T23" s="8"/>
      <c r="U23" s="9" t="str">
        <f aca="true">IF(R23="","",IF(T23&lt;&gt;"",T23-R23,TODAY()-R23))</f>
        <v/>
      </c>
      <c r="V23" s="7"/>
      <c r="W23" s="6"/>
    </row>
    <row r="24" customFormat="false" ht="15" hidden="false" customHeight="false" outlineLevel="0" collapsed="false">
      <c r="A24" s="4" t="str">
        <f aca="false">IF(C24="","",IF(B24="","ISS",IFERROR(INDEX(Projects!$B$6:$B$20,MATCH(B24,Projects!$A$6:$A$20,0)),"ISS"))&amp;"-"&amp;TEXT(COUNTIF($B$6:B24,B24),"000"))</f>
        <v/>
      </c>
      <c r="B24" s="5"/>
      <c r="C24" s="6"/>
      <c r="D24" s="6"/>
      <c r="E24" s="7"/>
      <c r="F24" s="5"/>
      <c r="G24" s="5"/>
      <c r="H24" s="5"/>
      <c r="I24" s="5"/>
      <c r="J24" s="5"/>
      <c r="K24" s="6"/>
      <c r="L24" s="6"/>
      <c r="M24" s="6"/>
      <c r="N24" s="7"/>
      <c r="O24" s="6"/>
      <c r="P24" s="7"/>
      <c r="Q24" s="7"/>
      <c r="R24" s="8"/>
      <c r="S24" s="8"/>
      <c r="T24" s="8"/>
      <c r="U24" s="9" t="str">
        <f aca="true">IF(R24="","",IF(T24&lt;&gt;"",T24-R24,TODAY()-R24))</f>
        <v/>
      </c>
      <c r="V24" s="7"/>
      <c r="W24" s="6"/>
    </row>
    <row r="25" customFormat="false" ht="15" hidden="false" customHeight="false" outlineLevel="0" collapsed="false">
      <c r="A25" s="4" t="str">
        <f aca="false">IF(C25="","",IF(B25="","ISS",IFERROR(INDEX(Projects!$B$6:$B$20,MATCH(B25,Projects!$A$6:$A$20,0)),"ISS"))&amp;"-"&amp;TEXT(COUNTIF($B$6:B25,B25),"000"))</f>
        <v/>
      </c>
      <c r="B25" s="5"/>
      <c r="C25" s="6"/>
      <c r="D25" s="6"/>
      <c r="E25" s="7"/>
      <c r="F25" s="5"/>
      <c r="G25" s="5"/>
      <c r="H25" s="5"/>
      <c r="I25" s="5"/>
      <c r="J25" s="5"/>
      <c r="K25" s="6"/>
      <c r="L25" s="6"/>
      <c r="M25" s="6"/>
      <c r="N25" s="7"/>
      <c r="O25" s="6"/>
      <c r="P25" s="7"/>
      <c r="Q25" s="7"/>
      <c r="R25" s="8"/>
      <c r="S25" s="8"/>
      <c r="T25" s="8"/>
      <c r="U25" s="9" t="str">
        <f aca="true">IF(R25="","",IF(T25&lt;&gt;"",T25-R25,TODAY()-R25))</f>
        <v/>
      </c>
      <c r="V25" s="7"/>
      <c r="W25" s="6"/>
    </row>
    <row r="26" customFormat="false" ht="15" hidden="false" customHeight="false" outlineLevel="0" collapsed="false">
      <c r="A26" s="4" t="str">
        <f aca="false">IF(C26="","",IF(B26="","ISS",IFERROR(INDEX(Projects!$B$6:$B$20,MATCH(B26,Projects!$A$6:$A$20,0)),"ISS"))&amp;"-"&amp;TEXT(COUNTIF($B$6:B26,B26),"000"))</f>
        <v/>
      </c>
      <c r="B26" s="5"/>
      <c r="C26" s="6"/>
      <c r="D26" s="6"/>
      <c r="E26" s="7"/>
      <c r="F26" s="5"/>
      <c r="G26" s="5"/>
      <c r="H26" s="5"/>
      <c r="I26" s="5"/>
      <c r="J26" s="5"/>
      <c r="K26" s="6"/>
      <c r="L26" s="6"/>
      <c r="M26" s="6"/>
      <c r="N26" s="7"/>
      <c r="O26" s="6"/>
      <c r="P26" s="7"/>
      <c r="Q26" s="7"/>
      <c r="R26" s="8"/>
      <c r="S26" s="8"/>
      <c r="T26" s="8"/>
      <c r="U26" s="9" t="str">
        <f aca="true">IF(R26="","",IF(T26&lt;&gt;"",T26-R26,TODAY()-R26))</f>
        <v/>
      </c>
      <c r="V26" s="7"/>
      <c r="W26" s="6"/>
    </row>
    <row r="27" customFormat="false" ht="15" hidden="false" customHeight="false" outlineLevel="0" collapsed="false">
      <c r="A27" s="4" t="str">
        <f aca="false">IF(C27="","",IF(B27="","ISS",IFERROR(INDEX(Projects!$B$6:$B$20,MATCH(B27,Projects!$A$6:$A$20,0)),"ISS"))&amp;"-"&amp;TEXT(COUNTIF($B$6:B27,B27),"000"))</f>
        <v/>
      </c>
      <c r="B27" s="5"/>
      <c r="C27" s="6"/>
      <c r="D27" s="6"/>
      <c r="E27" s="7"/>
      <c r="F27" s="5"/>
      <c r="G27" s="5"/>
      <c r="H27" s="5"/>
      <c r="I27" s="5"/>
      <c r="J27" s="5"/>
      <c r="K27" s="6"/>
      <c r="L27" s="6"/>
      <c r="M27" s="6"/>
      <c r="N27" s="7"/>
      <c r="O27" s="6"/>
      <c r="P27" s="7"/>
      <c r="Q27" s="7"/>
      <c r="R27" s="8"/>
      <c r="S27" s="8"/>
      <c r="T27" s="8"/>
      <c r="U27" s="9" t="str">
        <f aca="true">IF(R27="","",IF(T27&lt;&gt;"",T27-R27,TODAY()-R27))</f>
        <v/>
      </c>
      <c r="V27" s="7"/>
      <c r="W27" s="6"/>
    </row>
    <row r="28" customFormat="false" ht="15" hidden="false" customHeight="false" outlineLevel="0" collapsed="false">
      <c r="A28" s="4" t="str">
        <f aca="false">IF(C28="","",IF(B28="","ISS",IFERROR(INDEX(Projects!$B$6:$B$20,MATCH(B28,Projects!$A$6:$A$20,0)),"ISS"))&amp;"-"&amp;TEXT(COUNTIF($B$6:B28,B28),"000"))</f>
        <v/>
      </c>
      <c r="B28" s="5"/>
      <c r="C28" s="6"/>
      <c r="D28" s="6"/>
      <c r="E28" s="7"/>
      <c r="F28" s="5"/>
      <c r="G28" s="5"/>
      <c r="H28" s="5"/>
      <c r="I28" s="5"/>
      <c r="J28" s="5"/>
      <c r="K28" s="6"/>
      <c r="L28" s="6"/>
      <c r="M28" s="6"/>
      <c r="N28" s="7"/>
      <c r="O28" s="6"/>
      <c r="P28" s="7"/>
      <c r="Q28" s="7"/>
      <c r="R28" s="8"/>
      <c r="S28" s="8"/>
      <c r="T28" s="8"/>
      <c r="U28" s="9" t="str">
        <f aca="true">IF(R28="","",IF(T28&lt;&gt;"",T28-R28,TODAY()-R28))</f>
        <v/>
      </c>
      <c r="V28" s="7"/>
      <c r="W28" s="6"/>
    </row>
    <row r="29" customFormat="false" ht="15" hidden="false" customHeight="false" outlineLevel="0" collapsed="false">
      <c r="A29" s="4" t="str">
        <f aca="false">IF(C29="","",IF(B29="","ISS",IFERROR(INDEX(Projects!$B$6:$B$20,MATCH(B29,Projects!$A$6:$A$20,0)),"ISS"))&amp;"-"&amp;TEXT(COUNTIF($B$6:B29,B29),"000"))</f>
        <v/>
      </c>
      <c r="B29" s="5"/>
      <c r="C29" s="6"/>
      <c r="D29" s="6"/>
      <c r="E29" s="7"/>
      <c r="F29" s="5"/>
      <c r="G29" s="5"/>
      <c r="H29" s="5"/>
      <c r="I29" s="5"/>
      <c r="J29" s="5"/>
      <c r="K29" s="6"/>
      <c r="L29" s="6"/>
      <c r="M29" s="6"/>
      <c r="N29" s="7"/>
      <c r="O29" s="6"/>
      <c r="P29" s="7"/>
      <c r="Q29" s="7"/>
      <c r="R29" s="8"/>
      <c r="S29" s="8"/>
      <c r="T29" s="8"/>
      <c r="U29" s="9" t="str">
        <f aca="true">IF(R29="","",IF(T29&lt;&gt;"",T29-R29,TODAY()-R29))</f>
        <v/>
      </c>
      <c r="V29" s="7"/>
      <c r="W29" s="6"/>
    </row>
    <row r="30" customFormat="false" ht="15" hidden="false" customHeight="false" outlineLevel="0" collapsed="false">
      <c r="A30" s="4" t="str">
        <f aca="false">IF(C30="","",IF(B30="","ISS",IFERROR(INDEX(Projects!$B$6:$B$20,MATCH(B30,Projects!$A$6:$A$20,0)),"ISS"))&amp;"-"&amp;TEXT(COUNTIF($B$6:B30,B30),"000"))</f>
        <v/>
      </c>
      <c r="B30" s="5"/>
      <c r="C30" s="6"/>
      <c r="D30" s="6"/>
      <c r="E30" s="7"/>
      <c r="F30" s="5"/>
      <c r="G30" s="5"/>
      <c r="H30" s="5"/>
      <c r="I30" s="5"/>
      <c r="J30" s="5"/>
      <c r="K30" s="6"/>
      <c r="L30" s="6"/>
      <c r="M30" s="6"/>
      <c r="N30" s="7"/>
      <c r="O30" s="6"/>
      <c r="P30" s="7"/>
      <c r="Q30" s="7"/>
      <c r="R30" s="8"/>
      <c r="S30" s="8"/>
      <c r="T30" s="8"/>
      <c r="U30" s="9" t="str">
        <f aca="true">IF(R30="","",IF(T30&lt;&gt;"",T30-R30,TODAY()-R30))</f>
        <v/>
      </c>
      <c r="V30" s="7"/>
      <c r="W30" s="6"/>
    </row>
    <row r="31" customFormat="false" ht="15" hidden="false" customHeight="false" outlineLevel="0" collapsed="false">
      <c r="A31" s="4" t="str">
        <f aca="false">IF(C31="","",IF(B31="","ISS",IFERROR(INDEX(Projects!$B$6:$B$20,MATCH(B31,Projects!$A$6:$A$20,0)),"ISS"))&amp;"-"&amp;TEXT(COUNTIF($B$6:B31,B31),"000"))</f>
        <v/>
      </c>
      <c r="B31" s="5"/>
      <c r="C31" s="6"/>
      <c r="D31" s="6"/>
      <c r="E31" s="7"/>
      <c r="F31" s="5"/>
      <c r="G31" s="5"/>
      <c r="H31" s="5"/>
      <c r="I31" s="5"/>
      <c r="J31" s="5"/>
      <c r="K31" s="6"/>
      <c r="L31" s="6"/>
      <c r="M31" s="6"/>
      <c r="N31" s="7"/>
      <c r="O31" s="6"/>
      <c r="P31" s="7"/>
      <c r="Q31" s="7"/>
      <c r="R31" s="8"/>
      <c r="S31" s="8"/>
      <c r="T31" s="8"/>
      <c r="U31" s="9" t="str">
        <f aca="true">IF(R31="","",IF(T31&lt;&gt;"",T31-R31,TODAY()-R31))</f>
        <v/>
      </c>
      <c r="V31" s="7"/>
      <c r="W31" s="6"/>
    </row>
    <row r="32" customFormat="false" ht="15" hidden="false" customHeight="false" outlineLevel="0" collapsed="false">
      <c r="A32" s="4" t="str">
        <f aca="false">IF(C32="","",IF(B32="","ISS",IFERROR(INDEX(Projects!$B$6:$B$20,MATCH(B32,Projects!$A$6:$A$20,0)),"ISS"))&amp;"-"&amp;TEXT(COUNTIF($B$6:B32,B32),"000"))</f>
        <v/>
      </c>
      <c r="B32" s="5"/>
      <c r="C32" s="6"/>
      <c r="D32" s="6"/>
      <c r="E32" s="7"/>
      <c r="F32" s="5"/>
      <c r="G32" s="5"/>
      <c r="H32" s="5"/>
      <c r="I32" s="5"/>
      <c r="J32" s="5"/>
      <c r="K32" s="6"/>
      <c r="L32" s="6"/>
      <c r="M32" s="6"/>
      <c r="N32" s="7"/>
      <c r="O32" s="6"/>
      <c r="P32" s="7"/>
      <c r="Q32" s="7"/>
      <c r="R32" s="8"/>
      <c r="S32" s="8"/>
      <c r="T32" s="8"/>
      <c r="U32" s="9" t="str">
        <f aca="true">IF(R32="","",IF(T32&lt;&gt;"",T32-R32,TODAY()-R32))</f>
        <v/>
      </c>
      <c r="V32" s="7"/>
      <c r="W32" s="6"/>
    </row>
    <row r="33" customFormat="false" ht="15" hidden="false" customHeight="false" outlineLevel="0" collapsed="false">
      <c r="A33" s="4" t="str">
        <f aca="false">IF(C33="","",IF(B33="","ISS",IFERROR(INDEX(Projects!$B$6:$B$20,MATCH(B33,Projects!$A$6:$A$20,0)),"ISS"))&amp;"-"&amp;TEXT(COUNTIF($B$6:B33,B33),"000"))</f>
        <v/>
      </c>
      <c r="B33" s="5"/>
      <c r="C33" s="6"/>
      <c r="D33" s="6"/>
      <c r="E33" s="7"/>
      <c r="F33" s="5"/>
      <c r="G33" s="5"/>
      <c r="H33" s="5"/>
      <c r="I33" s="5"/>
      <c r="J33" s="5"/>
      <c r="K33" s="6"/>
      <c r="L33" s="6"/>
      <c r="M33" s="6"/>
      <c r="N33" s="7"/>
      <c r="O33" s="6"/>
      <c r="P33" s="7"/>
      <c r="Q33" s="7"/>
      <c r="R33" s="8"/>
      <c r="S33" s="8"/>
      <c r="T33" s="8"/>
      <c r="U33" s="9" t="str">
        <f aca="true">IF(R33="","",IF(T33&lt;&gt;"",T33-R33,TODAY()-R33))</f>
        <v/>
      </c>
      <c r="V33" s="7"/>
      <c r="W33" s="6"/>
    </row>
    <row r="34" customFormat="false" ht="15" hidden="false" customHeight="false" outlineLevel="0" collapsed="false">
      <c r="A34" s="4" t="str">
        <f aca="false">IF(C34="","",IF(B34="","ISS",IFERROR(INDEX(Projects!$B$6:$B$20,MATCH(B34,Projects!$A$6:$A$20,0)),"ISS"))&amp;"-"&amp;TEXT(COUNTIF($B$6:B34,B34),"000"))</f>
        <v/>
      </c>
      <c r="B34" s="5"/>
      <c r="C34" s="6"/>
      <c r="D34" s="6"/>
      <c r="E34" s="7"/>
      <c r="F34" s="5"/>
      <c r="G34" s="5"/>
      <c r="H34" s="5"/>
      <c r="I34" s="5"/>
      <c r="J34" s="5"/>
      <c r="K34" s="6"/>
      <c r="L34" s="6"/>
      <c r="M34" s="6"/>
      <c r="N34" s="7"/>
      <c r="O34" s="6"/>
      <c r="P34" s="7"/>
      <c r="Q34" s="7"/>
      <c r="R34" s="8"/>
      <c r="S34" s="8"/>
      <c r="T34" s="8"/>
      <c r="U34" s="9" t="str">
        <f aca="true">IF(R34="","",IF(T34&lt;&gt;"",T34-R34,TODAY()-R34))</f>
        <v/>
      </c>
      <c r="V34" s="7"/>
      <c r="W34" s="6"/>
    </row>
    <row r="35" customFormat="false" ht="15" hidden="false" customHeight="false" outlineLevel="0" collapsed="false">
      <c r="A35" s="4" t="str">
        <f aca="false">IF(C35="","",IF(B35="","ISS",IFERROR(INDEX(Projects!$B$6:$B$20,MATCH(B35,Projects!$A$6:$A$20,0)),"ISS"))&amp;"-"&amp;TEXT(COUNTIF($B$6:B35,B35),"000"))</f>
        <v/>
      </c>
      <c r="B35" s="5"/>
      <c r="C35" s="6"/>
      <c r="D35" s="6"/>
      <c r="E35" s="7"/>
      <c r="F35" s="5"/>
      <c r="G35" s="5"/>
      <c r="H35" s="5"/>
      <c r="I35" s="5"/>
      <c r="J35" s="5"/>
      <c r="K35" s="6"/>
      <c r="L35" s="6"/>
      <c r="M35" s="6"/>
      <c r="N35" s="7"/>
      <c r="O35" s="6"/>
      <c r="P35" s="7"/>
      <c r="Q35" s="7"/>
      <c r="R35" s="8"/>
      <c r="S35" s="8"/>
      <c r="T35" s="8"/>
      <c r="U35" s="9" t="str">
        <f aca="true">IF(R35="","",IF(T35&lt;&gt;"",T35-R35,TODAY()-R35))</f>
        <v/>
      </c>
      <c r="V35" s="7"/>
      <c r="W35" s="6"/>
    </row>
    <row r="36" customFormat="false" ht="15" hidden="false" customHeight="false" outlineLevel="0" collapsed="false">
      <c r="A36" s="4" t="str">
        <f aca="false">IF(C36="","",IF(B36="","ISS",IFERROR(INDEX(Projects!$B$6:$B$20,MATCH(B36,Projects!$A$6:$A$20,0)),"ISS"))&amp;"-"&amp;TEXT(COUNTIF($B$6:B36,B36),"000"))</f>
        <v/>
      </c>
      <c r="B36" s="5"/>
      <c r="C36" s="6"/>
      <c r="D36" s="6"/>
      <c r="E36" s="7"/>
      <c r="F36" s="5"/>
      <c r="G36" s="5"/>
      <c r="H36" s="5"/>
      <c r="I36" s="5"/>
      <c r="J36" s="5"/>
      <c r="K36" s="6"/>
      <c r="L36" s="6"/>
      <c r="M36" s="6"/>
      <c r="N36" s="7"/>
      <c r="O36" s="6"/>
      <c r="P36" s="7"/>
      <c r="Q36" s="7"/>
      <c r="R36" s="8"/>
      <c r="S36" s="8"/>
      <c r="T36" s="8"/>
      <c r="U36" s="9" t="str">
        <f aca="true">IF(R36="","",IF(T36&lt;&gt;"",T36-R36,TODAY()-R36))</f>
        <v/>
      </c>
      <c r="V36" s="7"/>
      <c r="W36" s="6"/>
    </row>
    <row r="37" customFormat="false" ht="15" hidden="false" customHeight="false" outlineLevel="0" collapsed="false">
      <c r="A37" s="4" t="str">
        <f aca="false">IF(C37="","",IF(B37="","ISS",IFERROR(INDEX(Projects!$B$6:$B$20,MATCH(B37,Projects!$A$6:$A$20,0)),"ISS"))&amp;"-"&amp;TEXT(COUNTIF($B$6:B37,B37),"000"))</f>
        <v/>
      </c>
      <c r="B37" s="5"/>
      <c r="C37" s="6"/>
      <c r="D37" s="6"/>
      <c r="E37" s="7"/>
      <c r="F37" s="5"/>
      <c r="G37" s="5"/>
      <c r="H37" s="5"/>
      <c r="I37" s="5"/>
      <c r="J37" s="5"/>
      <c r="K37" s="6"/>
      <c r="L37" s="6"/>
      <c r="M37" s="6"/>
      <c r="N37" s="7"/>
      <c r="O37" s="6"/>
      <c r="P37" s="7"/>
      <c r="Q37" s="7"/>
      <c r="R37" s="8"/>
      <c r="S37" s="8"/>
      <c r="T37" s="8"/>
      <c r="U37" s="9" t="str">
        <f aca="true">IF(R37="","",IF(T37&lt;&gt;"",T37-R37,TODAY()-R37))</f>
        <v/>
      </c>
      <c r="V37" s="7"/>
      <c r="W37" s="6"/>
    </row>
    <row r="38" customFormat="false" ht="15" hidden="false" customHeight="false" outlineLevel="0" collapsed="false">
      <c r="A38" s="4" t="str">
        <f aca="false">IF(C38="","",IF(B38="","ISS",IFERROR(INDEX(Projects!$B$6:$B$20,MATCH(B38,Projects!$A$6:$A$20,0)),"ISS"))&amp;"-"&amp;TEXT(COUNTIF($B$6:B38,B38),"000"))</f>
        <v/>
      </c>
      <c r="B38" s="5"/>
      <c r="C38" s="6"/>
      <c r="D38" s="6"/>
      <c r="E38" s="7"/>
      <c r="F38" s="5"/>
      <c r="G38" s="5"/>
      <c r="H38" s="5"/>
      <c r="I38" s="5"/>
      <c r="J38" s="5"/>
      <c r="K38" s="6"/>
      <c r="L38" s="6"/>
      <c r="M38" s="6"/>
      <c r="N38" s="7"/>
      <c r="O38" s="6"/>
      <c r="P38" s="7"/>
      <c r="Q38" s="7"/>
      <c r="R38" s="8"/>
      <c r="S38" s="8"/>
      <c r="T38" s="8"/>
      <c r="U38" s="9" t="str">
        <f aca="true">IF(R38="","",IF(T38&lt;&gt;"",T38-R38,TODAY()-R38))</f>
        <v/>
      </c>
      <c r="V38" s="7"/>
      <c r="W38" s="6"/>
    </row>
    <row r="39" customFormat="false" ht="15" hidden="false" customHeight="false" outlineLevel="0" collapsed="false">
      <c r="A39" s="4" t="str">
        <f aca="false">IF(C39="","",IF(B39="","ISS",IFERROR(INDEX(Projects!$B$6:$B$20,MATCH(B39,Projects!$A$6:$A$20,0)),"ISS"))&amp;"-"&amp;TEXT(COUNTIF($B$6:B39,B39),"000"))</f>
        <v/>
      </c>
      <c r="B39" s="5"/>
      <c r="C39" s="6"/>
      <c r="D39" s="6"/>
      <c r="E39" s="7"/>
      <c r="F39" s="5"/>
      <c r="G39" s="5"/>
      <c r="H39" s="5"/>
      <c r="I39" s="5"/>
      <c r="J39" s="5"/>
      <c r="K39" s="6"/>
      <c r="L39" s="6"/>
      <c r="M39" s="6"/>
      <c r="N39" s="7"/>
      <c r="O39" s="6"/>
      <c r="P39" s="7"/>
      <c r="Q39" s="7"/>
      <c r="R39" s="8"/>
      <c r="S39" s="8"/>
      <c r="T39" s="8"/>
      <c r="U39" s="9" t="str">
        <f aca="true">IF(R39="","",IF(T39&lt;&gt;"",T39-R39,TODAY()-R39))</f>
        <v/>
      </c>
      <c r="V39" s="7"/>
      <c r="W39" s="6"/>
    </row>
    <row r="40" customFormat="false" ht="15" hidden="false" customHeight="false" outlineLevel="0" collapsed="false">
      <c r="A40" s="4" t="str">
        <f aca="false">IF(C40="","",IF(B40="","ISS",IFERROR(INDEX(Projects!$B$6:$B$20,MATCH(B40,Projects!$A$6:$A$20,0)),"ISS"))&amp;"-"&amp;TEXT(COUNTIF($B$6:B40,B40),"000"))</f>
        <v/>
      </c>
      <c r="B40" s="5"/>
      <c r="C40" s="6"/>
      <c r="D40" s="6"/>
      <c r="E40" s="7"/>
      <c r="F40" s="5"/>
      <c r="G40" s="5"/>
      <c r="H40" s="5"/>
      <c r="I40" s="5"/>
      <c r="J40" s="5"/>
      <c r="K40" s="6"/>
      <c r="L40" s="6"/>
      <c r="M40" s="6"/>
      <c r="N40" s="7"/>
      <c r="O40" s="6"/>
      <c r="P40" s="7"/>
      <c r="Q40" s="7"/>
      <c r="R40" s="8"/>
      <c r="S40" s="8"/>
      <c r="T40" s="8"/>
      <c r="U40" s="9" t="str">
        <f aca="true">IF(R40="","",IF(T40&lt;&gt;"",T40-R40,TODAY()-R40))</f>
        <v/>
      </c>
      <c r="V40" s="7"/>
      <c r="W40" s="6"/>
    </row>
    <row r="41" customFormat="false" ht="15" hidden="false" customHeight="false" outlineLevel="0" collapsed="false">
      <c r="A41" s="4" t="str">
        <f aca="false">IF(C41="","",IF(B41="","ISS",IFERROR(INDEX(Projects!$B$6:$B$20,MATCH(B41,Projects!$A$6:$A$20,0)),"ISS"))&amp;"-"&amp;TEXT(COUNTIF($B$6:B41,B41),"000"))</f>
        <v/>
      </c>
      <c r="B41" s="5"/>
      <c r="C41" s="6"/>
      <c r="D41" s="6"/>
      <c r="E41" s="7"/>
      <c r="F41" s="5"/>
      <c r="G41" s="5"/>
      <c r="H41" s="5"/>
      <c r="I41" s="5"/>
      <c r="J41" s="5"/>
      <c r="K41" s="6"/>
      <c r="L41" s="6"/>
      <c r="M41" s="6"/>
      <c r="N41" s="7"/>
      <c r="O41" s="6"/>
      <c r="P41" s="7"/>
      <c r="Q41" s="7"/>
      <c r="R41" s="8"/>
      <c r="S41" s="8"/>
      <c r="T41" s="8"/>
      <c r="U41" s="9" t="str">
        <f aca="true">IF(R41="","",IF(T41&lt;&gt;"",T41-R41,TODAY()-R41))</f>
        <v/>
      </c>
      <c r="V41" s="7"/>
      <c r="W41" s="6"/>
    </row>
    <row r="42" customFormat="false" ht="15" hidden="false" customHeight="false" outlineLevel="0" collapsed="false">
      <c r="A42" s="4" t="str">
        <f aca="false">IF(C42="","",IF(B42="","ISS",IFERROR(INDEX(Projects!$B$6:$B$20,MATCH(B42,Projects!$A$6:$A$20,0)),"ISS"))&amp;"-"&amp;TEXT(COUNTIF($B$6:B42,B42),"000"))</f>
        <v/>
      </c>
      <c r="B42" s="5"/>
      <c r="C42" s="6"/>
      <c r="D42" s="6"/>
      <c r="E42" s="7"/>
      <c r="F42" s="5"/>
      <c r="G42" s="5"/>
      <c r="H42" s="5"/>
      <c r="I42" s="5"/>
      <c r="J42" s="5"/>
      <c r="K42" s="6"/>
      <c r="L42" s="6"/>
      <c r="M42" s="6"/>
      <c r="N42" s="7"/>
      <c r="O42" s="6"/>
      <c r="P42" s="7"/>
      <c r="Q42" s="7"/>
      <c r="R42" s="8"/>
      <c r="S42" s="8"/>
      <c r="T42" s="8"/>
      <c r="U42" s="9" t="str">
        <f aca="true">IF(R42="","",IF(T42&lt;&gt;"",T42-R42,TODAY()-R42))</f>
        <v/>
      </c>
      <c r="V42" s="7"/>
      <c r="W42" s="6"/>
    </row>
    <row r="43" customFormat="false" ht="15" hidden="false" customHeight="false" outlineLevel="0" collapsed="false">
      <c r="A43" s="4" t="str">
        <f aca="false">IF(C43="","",IF(B43="","ISS",IFERROR(INDEX(Projects!$B$6:$B$20,MATCH(B43,Projects!$A$6:$A$20,0)),"ISS"))&amp;"-"&amp;TEXT(COUNTIF($B$6:B43,B43),"000"))</f>
        <v/>
      </c>
      <c r="B43" s="5"/>
      <c r="C43" s="6"/>
      <c r="D43" s="6"/>
      <c r="E43" s="7"/>
      <c r="F43" s="5"/>
      <c r="G43" s="5"/>
      <c r="H43" s="5"/>
      <c r="I43" s="5"/>
      <c r="J43" s="5"/>
      <c r="K43" s="6"/>
      <c r="L43" s="6"/>
      <c r="M43" s="6"/>
      <c r="N43" s="7"/>
      <c r="O43" s="6"/>
      <c r="P43" s="7"/>
      <c r="Q43" s="7"/>
      <c r="R43" s="8"/>
      <c r="S43" s="8"/>
      <c r="T43" s="8"/>
      <c r="U43" s="9" t="str">
        <f aca="true">IF(R43="","",IF(T43&lt;&gt;"",T43-R43,TODAY()-R43))</f>
        <v/>
      </c>
      <c r="V43" s="7"/>
      <c r="W43" s="6"/>
    </row>
    <row r="44" customFormat="false" ht="15" hidden="false" customHeight="false" outlineLevel="0" collapsed="false">
      <c r="A44" s="4" t="str">
        <f aca="false">IF(C44="","",IF(B44="","ISS",IFERROR(INDEX(Projects!$B$6:$B$20,MATCH(B44,Projects!$A$6:$A$20,0)),"ISS"))&amp;"-"&amp;TEXT(COUNTIF($B$6:B44,B44),"000"))</f>
        <v/>
      </c>
      <c r="B44" s="5"/>
      <c r="C44" s="6"/>
      <c r="D44" s="6"/>
      <c r="E44" s="7"/>
      <c r="F44" s="5"/>
      <c r="G44" s="5"/>
      <c r="H44" s="5"/>
      <c r="I44" s="5"/>
      <c r="J44" s="5"/>
      <c r="K44" s="6"/>
      <c r="L44" s="6"/>
      <c r="M44" s="6"/>
      <c r="N44" s="7"/>
      <c r="O44" s="6"/>
      <c r="P44" s="7"/>
      <c r="Q44" s="7"/>
      <c r="R44" s="8"/>
      <c r="S44" s="8"/>
      <c r="T44" s="8"/>
      <c r="U44" s="9" t="str">
        <f aca="true">IF(R44="","",IF(T44&lt;&gt;"",T44-R44,TODAY()-R44))</f>
        <v/>
      </c>
      <c r="V44" s="7"/>
      <c r="W44" s="6"/>
    </row>
    <row r="45" customFormat="false" ht="15" hidden="false" customHeight="false" outlineLevel="0" collapsed="false">
      <c r="A45" s="4" t="str">
        <f aca="false">IF(C45="","",IF(B45="","ISS",IFERROR(INDEX(Projects!$B$6:$B$20,MATCH(B45,Projects!$A$6:$A$20,0)),"ISS"))&amp;"-"&amp;TEXT(COUNTIF($B$6:B45,B45),"000"))</f>
        <v/>
      </c>
      <c r="B45" s="5"/>
      <c r="C45" s="6"/>
      <c r="D45" s="6"/>
      <c r="E45" s="7"/>
      <c r="F45" s="5"/>
      <c r="G45" s="5"/>
      <c r="H45" s="5"/>
      <c r="I45" s="5"/>
      <c r="J45" s="5"/>
      <c r="K45" s="6"/>
      <c r="L45" s="6"/>
      <c r="M45" s="6"/>
      <c r="N45" s="7"/>
      <c r="O45" s="6"/>
      <c r="P45" s="7"/>
      <c r="Q45" s="7"/>
      <c r="R45" s="8"/>
      <c r="S45" s="8"/>
      <c r="T45" s="8"/>
      <c r="U45" s="9" t="str">
        <f aca="true">IF(R45="","",IF(T45&lt;&gt;"",T45-R45,TODAY()-R45))</f>
        <v/>
      </c>
      <c r="V45" s="7"/>
      <c r="W45" s="6"/>
    </row>
    <row r="46" customFormat="false" ht="15" hidden="false" customHeight="false" outlineLevel="0" collapsed="false">
      <c r="A46" s="4" t="str">
        <f aca="false">IF(C46="","",IF(B46="","ISS",IFERROR(INDEX(Projects!$B$6:$B$20,MATCH(B46,Projects!$A$6:$A$20,0)),"ISS"))&amp;"-"&amp;TEXT(COUNTIF($B$6:B46,B46),"000"))</f>
        <v/>
      </c>
      <c r="B46" s="5"/>
      <c r="C46" s="6"/>
      <c r="D46" s="6"/>
      <c r="E46" s="7"/>
      <c r="F46" s="5"/>
      <c r="G46" s="5"/>
      <c r="H46" s="5"/>
      <c r="I46" s="5"/>
      <c r="J46" s="5"/>
      <c r="K46" s="6"/>
      <c r="L46" s="6"/>
      <c r="M46" s="6"/>
      <c r="N46" s="7"/>
      <c r="O46" s="6"/>
      <c r="P46" s="7"/>
      <c r="Q46" s="7"/>
      <c r="R46" s="8"/>
      <c r="S46" s="8"/>
      <c r="T46" s="8"/>
      <c r="U46" s="9" t="str">
        <f aca="true">IF(R46="","",IF(T46&lt;&gt;"",T46-R46,TODAY()-R46))</f>
        <v/>
      </c>
      <c r="V46" s="7"/>
      <c r="W46" s="6"/>
    </row>
    <row r="47" customFormat="false" ht="15" hidden="false" customHeight="false" outlineLevel="0" collapsed="false">
      <c r="A47" s="4" t="str">
        <f aca="false">IF(C47="","",IF(B47="","ISS",IFERROR(INDEX(Projects!$B$6:$B$20,MATCH(B47,Projects!$A$6:$A$20,0)),"ISS"))&amp;"-"&amp;TEXT(COUNTIF($B$6:B47,B47),"000"))</f>
        <v/>
      </c>
      <c r="B47" s="5"/>
      <c r="C47" s="6"/>
      <c r="D47" s="6"/>
      <c r="E47" s="7"/>
      <c r="F47" s="5"/>
      <c r="G47" s="5"/>
      <c r="H47" s="5"/>
      <c r="I47" s="5"/>
      <c r="J47" s="5"/>
      <c r="K47" s="6"/>
      <c r="L47" s="6"/>
      <c r="M47" s="6"/>
      <c r="N47" s="7"/>
      <c r="O47" s="6"/>
      <c r="P47" s="7"/>
      <c r="Q47" s="7"/>
      <c r="R47" s="8"/>
      <c r="S47" s="8"/>
      <c r="T47" s="8"/>
      <c r="U47" s="9" t="str">
        <f aca="true">IF(R47="","",IF(T47&lt;&gt;"",T47-R47,TODAY()-R47))</f>
        <v/>
      </c>
      <c r="V47" s="7"/>
      <c r="W47" s="6"/>
    </row>
    <row r="48" customFormat="false" ht="15" hidden="false" customHeight="false" outlineLevel="0" collapsed="false">
      <c r="A48" s="4" t="str">
        <f aca="false">IF(C48="","",IF(B48="","ISS",IFERROR(INDEX(Projects!$B$6:$B$20,MATCH(B48,Projects!$A$6:$A$20,0)),"ISS"))&amp;"-"&amp;TEXT(COUNTIF($B$6:B48,B48),"000"))</f>
        <v/>
      </c>
      <c r="B48" s="5"/>
      <c r="C48" s="6"/>
      <c r="D48" s="6"/>
      <c r="E48" s="7"/>
      <c r="F48" s="5"/>
      <c r="G48" s="5"/>
      <c r="H48" s="5"/>
      <c r="I48" s="5"/>
      <c r="J48" s="5"/>
      <c r="K48" s="6"/>
      <c r="L48" s="6"/>
      <c r="M48" s="6"/>
      <c r="N48" s="7"/>
      <c r="O48" s="6"/>
      <c r="P48" s="7"/>
      <c r="Q48" s="7"/>
      <c r="R48" s="8"/>
      <c r="S48" s="8"/>
      <c r="T48" s="8"/>
      <c r="U48" s="9" t="str">
        <f aca="true">IF(R48="","",IF(T48&lt;&gt;"",T48-R48,TODAY()-R48))</f>
        <v/>
      </c>
      <c r="V48" s="7"/>
      <c r="W48" s="6"/>
    </row>
    <row r="49" customFormat="false" ht="15" hidden="false" customHeight="false" outlineLevel="0" collapsed="false">
      <c r="A49" s="4" t="str">
        <f aca="false">IF(C49="","",IF(B49="","ISS",IFERROR(INDEX(Projects!$B$6:$B$20,MATCH(B49,Projects!$A$6:$A$20,0)),"ISS"))&amp;"-"&amp;TEXT(COUNTIF($B$6:B49,B49),"000"))</f>
        <v/>
      </c>
      <c r="B49" s="5"/>
      <c r="C49" s="6"/>
      <c r="D49" s="6"/>
      <c r="E49" s="7"/>
      <c r="F49" s="5"/>
      <c r="G49" s="5"/>
      <c r="H49" s="5"/>
      <c r="I49" s="5"/>
      <c r="J49" s="5"/>
      <c r="K49" s="6"/>
      <c r="L49" s="6"/>
      <c r="M49" s="6"/>
      <c r="N49" s="7"/>
      <c r="O49" s="6"/>
      <c r="P49" s="7"/>
      <c r="Q49" s="7"/>
      <c r="R49" s="8"/>
      <c r="S49" s="8"/>
      <c r="T49" s="8"/>
      <c r="U49" s="9" t="str">
        <f aca="true">IF(R49="","",IF(T49&lt;&gt;"",T49-R49,TODAY()-R49))</f>
        <v/>
      </c>
      <c r="V49" s="7"/>
      <c r="W49" s="6"/>
    </row>
    <row r="50" customFormat="false" ht="15" hidden="false" customHeight="false" outlineLevel="0" collapsed="false">
      <c r="A50" s="4" t="str">
        <f aca="false">IF(C50="","",IF(B50="","ISS",IFERROR(INDEX(Projects!$B$6:$B$20,MATCH(B50,Projects!$A$6:$A$20,0)),"ISS"))&amp;"-"&amp;TEXT(COUNTIF($B$6:B50,B50),"000"))</f>
        <v/>
      </c>
      <c r="B50" s="5"/>
      <c r="C50" s="6"/>
      <c r="D50" s="6"/>
      <c r="E50" s="7"/>
      <c r="F50" s="5"/>
      <c r="G50" s="5"/>
      <c r="H50" s="5"/>
      <c r="I50" s="5"/>
      <c r="J50" s="5"/>
      <c r="K50" s="6"/>
      <c r="L50" s="6"/>
      <c r="M50" s="6"/>
      <c r="N50" s="7"/>
      <c r="O50" s="6"/>
      <c r="P50" s="7"/>
      <c r="Q50" s="7"/>
      <c r="R50" s="8"/>
      <c r="S50" s="8"/>
      <c r="T50" s="8"/>
      <c r="U50" s="9" t="str">
        <f aca="true">IF(R50="","",IF(T50&lt;&gt;"",T50-R50,TODAY()-R50))</f>
        <v/>
      </c>
      <c r="V50" s="7"/>
      <c r="W50" s="6"/>
    </row>
    <row r="51" customFormat="false" ht="15" hidden="false" customHeight="false" outlineLevel="0" collapsed="false">
      <c r="A51" s="4" t="str">
        <f aca="false">IF(C51="","",IF(B51="","ISS",IFERROR(INDEX(Projects!$B$6:$B$20,MATCH(B51,Projects!$A$6:$A$20,0)),"ISS"))&amp;"-"&amp;TEXT(COUNTIF($B$6:B51,B51),"000"))</f>
        <v/>
      </c>
      <c r="B51" s="5"/>
      <c r="C51" s="6"/>
      <c r="D51" s="6"/>
      <c r="E51" s="7"/>
      <c r="F51" s="5"/>
      <c r="G51" s="5"/>
      <c r="H51" s="5"/>
      <c r="I51" s="5"/>
      <c r="J51" s="5"/>
      <c r="K51" s="6"/>
      <c r="L51" s="6"/>
      <c r="M51" s="6"/>
      <c r="N51" s="7"/>
      <c r="O51" s="6"/>
      <c r="P51" s="7"/>
      <c r="Q51" s="7"/>
      <c r="R51" s="8"/>
      <c r="S51" s="8"/>
      <c r="T51" s="8"/>
      <c r="U51" s="9" t="str">
        <f aca="true">IF(R51="","",IF(T51&lt;&gt;"",T51-R51,TODAY()-R51))</f>
        <v/>
      </c>
      <c r="V51" s="7"/>
      <c r="W51" s="6"/>
    </row>
    <row r="52" customFormat="false" ht="15" hidden="false" customHeight="false" outlineLevel="0" collapsed="false">
      <c r="A52" s="4" t="str">
        <f aca="false">IF(C52="","",IF(B52="","ISS",IFERROR(INDEX(Projects!$B$6:$B$20,MATCH(B52,Projects!$A$6:$A$20,0)),"ISS"))&amp;"-"&amp;TEXT(COUNTIF($B$6:B52,B52),"000"))</f>
        <v/>
      </c>
      <c r="B52" s="5"/>
      <c r="C52" s="6"/>
      <c r="D52" s="6"/>
      <c r="E52" s="7"/>
      <c r="F52" s="5"/>
      <c r="G52" s="5"/>
      <c r="H52" s="5"/>
      <c r="I52" s="5"/>
      <c r="J52" s="5"/>
      <c r="K52" s="6"/>
      <c r="L52" s="6"/>
      <c r="M52" s="6"/>
      <c r="N52" s="7"/>
      <c r="O52" s="6"/>
      <c r="P52" s="7"/>
      <c r="Q52" s="7"/>
      <c r="R52" s="8"/>
      <c r="S52" s="8"/>
      <c r="T52" s="8"/>
      <c r="U52" s="9" t="str">
        <f aca="true">IF(R52="","",IF(T52&lt;&gt;"",T52-R52,TODAY()-R52))</f>
        <v/>
      </c>
      <c r="V52" s="7"/>
      <c r="W52" s="6"/>
    </row>
    <row r="53" customFormat="false" ht="15" hidden="false" customHeight="false" outlineLevel="0" collapsed="false">
      <c r="A53" s="4" t="str">
        <f aca="false">IF(C53="","",IF(B53="","ISS",IFERROR(INDEX(Projects!$B$6:$B$20,MATCH(B53,Projects!$A$6:$A$20,0)),"ISS"))&amp;"-"&amp;TEXT(COUNTIF($B$6:B53,B53),"000"))</f>
        <v/>
      </c>
      <c r="B53" s="5"/>
      <c r="C53" s="6"/>
      <c r="D53" s="6"/>
      <c r="E53" s="7"/>
      <c r="F53" s="5"/>
      <c r="G53" s="5"/>
      <c r="H53" s="5"/>
      <c r="I53" s="5"/>
      <c r="J53" s="5"/>
      <c r="K53" s="6"/>
      <c r="L53" s="6"/>
      <c r="M53" s="6"/>
      <c r="N53" s="7"/>
      <c r="O53" s="6"/>
      <c r="P53" s="7"/>
      <c r="Q53" s="7"/>
      <c r="R53" s="8"/>
      <c r="S53" s="8"/>
      <c r="T53" s="8"/>
      <c r="U53" s="9" t="str">
        <f aca="true">IF(R53="","",IF(T53&lt;&gt;"",T53-R53,TODAY()-R53))</f>
        <v/>
      </c>
      <c r="V53" s="7"/>
      <c r="W53" s="6"/>
    </row>
    <row r="54" customFormat="false" ht="15" hidden="false" customHeight="false" outlineLevel="0" collapsed="false">
      <c r="A54" s="4" t="str">
        <f aca="false">IF(C54="","",IF(B54="","ISS",IFERROR(INDEX(Projects!$B$6:$B$20,MATCH(B54,Projects!$A$6:$A$20,0)),"ISS"))&amp;"-"&amp;TEXT(COUNTIF($B$6:B54,B54),"000"))</f>
        <v/>
      </c>
      <c r="B54" s="5"/>
      <c r="C54" s="6"/>
      <c r="D54" s="6"/>
      <c r="E54" s="7"/>
      <c r="F54" s="5"/>
      <c r="G54" s="5"/>
      <c r="H54" s="5"/>
      <c r="I54" s="5"/>
      <c r="J54" s="5"/>
      <c r="K54" s="6"/>
      <c r="L54" s="6"/>
      <c r="M54" s="6"/>
      <c r="N54" s="7"/>
      <c r="O54" s="6"/>
      <c r="P54" s="7"/>
      <c r="Q54" s="7"/>
      <c r="R54" s="8"/>
      <c r="S54" s="8"/>
      <c r="T54" s="8"/>
      <c r="U54" s="9" t="str">
        <f aca="true">IF(R54="","",IF(T54&lt;&gt;"",T54-R54,TODAY()-R54))</f>
        <v/>
      </c>
      <c r="V54" s="7"/>
      <c r="W54" s="6"/>
    </row>
    <row r="55" customFormat="false" ht="15" hidden="false" customHeight="false" outlineLevel="0" collapsed="false">
      <c r="A55" s="4" t="str">
        <f aca="false">IF(C55="","",IF(B55="","ISS",IFERROR(INDEX(Projects!$B$6:$B$20,MATCH(B55,Projects!$A$6:$A$20,0)),"ISS"))&amp;"-"&amp;TEXT(COUNTIF($B$6:B55,B55),"000"))</f>
        <v/>
      </c>
      <c r="B55" s="5"/>
      <c r="C55" s="6"/>
      <c r="D55" s="6"/>
      <c r="E55" s="7"/>
      <c r="F55" s="5"/>
      <c r="G55" s="5"/>
      <c r="H55" s="5"/>
      <c r="I55" s="5"/>
      <c r="J55" s="5"/>
      <c r="K55" s="6"/>
      <c r="L55" s="6"/>
      <c r="M55" s="6"/>
      <c r="N55" s="7"/>
      <c r="O55" s="6"/>
      <c r="P55" s="7"/>
      <c r="Q55" s="7"/>
      <c r="R55" s="8"/>
      <c r="S55" s="8"/>
      <c r="T55" s="8"/>
      <c r="U55" s="9" t="str">
        <f aca="true">IF(R55="","",IF(T55&lt;&gt;"",T55-R55,TODAY()-R55))</f>
        <v/>
      </c>
      <c r="V55" s="7"/>
      <c r="W55" s="6"/>
    </row>
    <row r="56" customFormat="false" ht="15" hidden="false" customHeight="false" outlineLevel="0" collapsed="false">
      <c r="A56" s="4" t="str">
        <f aca="false">IF(C56="","",IF(B56="","ISS",IFERROR(INDEX(Projects!$B$6:$B$20,MATCH(B56,Projects!$A$6:$A$20,0)),"ISS"))&amp;"-"&amp;TEXT(COUNTIF($B$6:B56,B56),"000"))</f>
        <v/>
      </c>
      <c r="B56" s="5"/>
      <c r="C56" s="6"/>
      <c r="D56" s="6"/>
      <c r="E56" s="7"/>
      <c r="F56" s="5"/>
      <c r="G56" s="5"/>
      <c r="H56" s="5"/>
      <c r="I56" s="5"/>
      <c r="J56" s="5"/>
      <c r="K56" s="6"/>
      <c r="L56" s="6"/>
      <c r="M56" s="6"/>
      <c r="N56" s="7"/>
      <c r="O56" s="6"/>
      <c r="P56" s="7"/>
      <c r="Q56" s="7"/>
      <c r="R56" s="8"/>
      <c r="S56" s="8"/>
      <c r="T56" s="8"/>
      <c r="U56" s="9" t="str">
        <f aca="true">IF(R56="","",IF(T56&lt;&gt;"",T56-R56,TODAY()-R56))</f>
        <v/>
      </c>
      <c r="V56" s="7"/>
      <c r="W56" s="6"/>
    </row>
    <row r="57" customFormat="false" ht="15" hidden="false" customHeight="false" outlineLevel="0" collapsed="false">
      <c r="A57" s="4" t="str">
        <f aca="false">IF(C57="","",IF(B57="","ISS",IFERROR(INDEX(Projects!$B$6:$B$20,MATCH(B57,Projects!$A$6:$A$20,0)),"ISS"))&amp;"-"&amp;TEXT(COUNTIF($B$6:B57,B57),"000"))</f>
        <v/>
      </c>
      <c r="B57" s="5"/>
      <c r="C57" s="6"/>
      <c r="D57" s="6"/>
      <c r="E57" s="7"/>
      <c r="F57" s="5"/>
      <c r="G57" s="5"/>
      <c r="H57" s="5"/>
      <c r="I57" s="5"/>
      <c r="J57" s="5"/>
      <c r="K57" s="6"/>
      <c r="L57" s="6"/>
      <c r="M57" s="6"/>
      <c r="N57" s="7"/>
      <c r="O57" s="6"/>
      <c r="P57" s="7"/>
      <c r="Q57" s="7"/>
      <c r="R57" s="8"/>
      <c r="S57" s="8"/>
      <c r="T57" s="8"/>
      <c r="U57" s="9" t="str">
        <f aca="true">IF(R57="","",IF(T57&lt;&gt;"",T57-R57,TODAY()-R57))</f>
        <v/>
      </c>
      <c r="V57" s="7"/>
      <c r="W57" s="6"/>
    </row>
    <row r="58" customFormat="false" ht="15" hidden="false" customHeight="false" outlineLevel="0" collapsed="false">
      <c r="A58" s="4" t="str">
        <f aca="false">IF(C58="","",IF(B58="","ISS",IFERROR(INDEX(Projects!$B$6:$B$20,MATCH(B58,Projects!$A$6:$A$20,0)),"ISS"))&amp;"-"&amp;TEXT(COUNTIF($B$6:B58,B58),"000"))</f>
        <v/>
      </c>
      <c r="B58" s="5"/>
      <c r="C58" s="6"/>
      <c r="D58" s="6"/>
      <c r="E58" s="7"/>
      <c r="F58" s="5"/>
      <c r="G58" s="5"/>
      <c r="H58" s="5"/>
      <c r="I58" s="5"/>
      <c r="J58" s="5"/>
      <c r="K58" s="6"/>
      <c r="L58" s="6"/>
      <c r="M58" s="6"/>
      <c r="N58" s="7"/>
      <c r="O58" s="6"/>
      <c r="P58" s="7"/>
      <c r="Q58" s="7"/>
      <c r="R58" s="8"/>
      <c r="S58" s="8"/>
      <c r="T58" s="8"/>
      <c r="U58" s="9" t="str">
        <f aca="true">IF(R58="","",IF(T58&lt;&gt;"",T58-R58,TODAY()-R58))</f>
        <v/>
      </c>
      <c r="V58" s="7"/>
      <c r="W58" s="6"/>
    </row>
    <row r="59" customFormat="false" ht="15" hidden="false" customHeight="false" outlineLevel="0" collapsed="false">
      <c r="A59" s="4" t="str">
        <f aca="false">IF(C59="","",IF(B59="","ISS",IFERROR(INDEX(Projects!$B$6:$B$20,MATCH(B59,Projects!$A$6:$A$20,0)),"ISS"))&amp;"-"&amp;TEXT(COUNTIF($B$6:B59,B59),"000"))</f>
        <v/>
      </c>
      <c r="B59" s="5"/>
      <c r="C59" s="6"/>
      <c r="D59" s="6"/>
      <c r="E59" s="7"/>
      <c r="F59" s="5"/>
      <c r="G59" s="5"/>
      <c r="H59" s="5"/>
      <c r="I59" s="5"/>
      <c r="J59" s="5"/>
      <c r="K59" s="6"/>
      <c r="L59" s="6"/>
      <c r="M59" s="6"/>
      <c r="N59" s="7"/>
      <c r="O59" s="6"/>
      <c r="P59" s="7"/>
      <c r="Q59" s="7"/>
      <c r="R59" s="8"/>
      <c r="S59" s="8"/>
      <c r="T59" s="8"/>
      <c r="U59" s="9" t="str">
        <f aca="true">IF(R59="","",IF(T59&lt;&gt;"",T59-R59,TODAY()-R59))</f>
        <v/>
      </c>
      <c r="V59" s="7"/>
      <c r="W59" s="6"/>
    </row>
    <row r="60" customFormat="false" ht="15" hidden="false" customHeight="false" outlineLevel="0" collapsed="false">
      <c r="A60" s="4" t="str">
        <f aca="false">IF(C60="","",IF(B60="","ISS",IFERROR(INDEX(Projects!$B$6:$B$20,MATCH(B60,Projects!$A$6:$A$20,0)),"ISS"))&amp;"-"&amp;TEXT(COUNTIF($B$6:B60,B60),"000"))</f>
        <v/>
      </c>
      <c r="B60" s="5"/>
      <c r="C60" s="6"/>
      <c r="D60" s="6"/>
      <c r="E60" s="7"/>
      <c r="F60" s="5"/>
      <c r="G60" s="5"/>
      <c r="H60" s="5"/>
      <c r="I60" s="5"/>
      <c r="J60" s="5"/>
      <c r="K60" s="6"/>
      <c r="L60" s="6"/>
      <c r="M60" s="6"/>
      <c r="N60" s="7"/>
      <c r="O60" s="6"/>
      <c r="P60" s="7"/>
      <c r="Q60" s="7"/>
      <c r="R60" s="8"/>
      <c r="S60" s="8"/>
      <c r="T60" s="8"/>
      <c r="U60" s="9" t="str">
        <f aca="true">IF(R60="","",IF(T60&lt;&gt;"",T60-R60,TODAY()-R60))</f>
        <v/>
      </c>
      <c r="V60" s="7"/>
      <c r="W60" s="6"/>
    </row>
    <row r="61" customFormat="false" ht="15" hidden="false" customHeight="false" outlineLevel="0" collapsed="false">
      <c r="A61" s="4" t="str">
        <f aca="false">IF(C61="","",IF(B61="","ISS",IFERROR(INDEX(Projects!$B$6:$B$20,MATCH(B61,Projects!$A$6:$A$20,0)),"ISS"))&amp;"-"&amp;TEXT(COUNTIF($B$6:B61,B61),"000"))</f>
        <v/>
      </c>
      <c r="B61" s="5"/>
      <c r="C61" s="6"/>
      <c r="D61" s="6"/>
      <c r="E61" s="7"/>
      <c r="F61" s="5"/>
      <c r="G61" s="5"/>
      <c r="H61" s="5"/>
      <c r="I61" s="5"/>
      <c r="J61" s="5"/>
      <c r="K61" s="6"/>
      <c r="L61" s="6"/>
      <c r="M61" s="6"/>
      <c r="N61" s="7"/>
      <c r="O61" s="6"/>
      <c r="P61" s="7"/>
      <c r="Q61" s="7"/>
      <c r="R61" s="8"/>
      <c r="S61" s="8"/>
      <c r="T61" s="8"/>
      <c r="U61" s="9" t="str">
        <f aca="true">IF(R61="","",IF(T61&lt;&gt;"",T61-R61,TODAY()-R61))</f>
        <v/>
      </c>
      <c r="V61" s="7"/>
      <c r="W61" s="6"/>
    </row>
    <row r="62" customFormat="false" ht="15" hidden="false" customHeight="false" outlineLevel="0" collapsed="false">
      <c r="A62" s="4" t="str">
        <f aca="false">IF(C62="","",IF(B62="","ISS",IFERROR(INDEX(Projects!$B$6:$B$20,MATCH(B62,Projects!$A$6:$A$20,0)),"ISS"))&amp;"-"&amp;TEXT(COUNTIF($B$6:B62,B62),"000"))</f>
        <v/>
      </c>
      <c r="B62" s="5"/>
      <c r="C62" s="6"/>
      <c r="D62" s="6"/>
      <c r="E62" s="7"/>
      <c r="F62" s="5"/>
      <c r="G62" s="5"/>
      <c r="H62" s="5"/>
      <c r="I62" s="5"/>
      <c r="J62" s="5"/>
      <c r="K62" s="6"/>
      <c r="L62" s="6"/>
      <c r="M62" s="6"/>
      <c r="N62" s="7"/>
      <c r="O62" s="6"/>
      <c r="P62" s="7"/>
      <c r="Q62" s="7"/>
      <c r="R62" s="8"/>
      <c r="S62" s="8"/>
      <c r="T62" s="8"/>
      <c r="U62" s="9" t="str">
        <f aca="true">IF(R62="","",IF(T62&lt;&gt;"",T62-R62,TODAY()-R62))</f>
        <v/>
      </c>
      <c r="V62" s="7"/>
      <c r="W62" s="6"/>
    </row>
    <row r="63" customFormat="false" ht="15" hidden="false" customHeight="false" outlineLevel="0" collapsed="false">
      <c r="A63" s="4" t="str">
        <f aca="false">IF(C63="","",IF(B63="","ISS",IFERROR(INDEX(Projects!$B$6:$B$20,MATCH(B63,Projects!$A$6:$A$20,0)),"ISS"))&amp;"-"&amp;TEXT(COUNTIF($B$6:B63,B63),"000"))</f>
        <v/>
      </c>
      <c r="B63" s="5"/>
      <c r="C63" s="6"/>
      <c r="D63" s="6"/>
      <c r="E63" s="7"/>
      <c r="F63" s="5"/>
      <c r="G63" s="5"/>
      <c r="H63" s="5"/>
      <c r="I63" s="5"/>
      <c r="J63" s="5"/>
      <c r="K63" s="6"/>
      <c r="L63" s="6"/>
      <c r="M63" s="6"/>
      <c r="N63" s="7"/>
      <c r="O63" s="6"/>
      <c r="P63" s="7"/>
      <c r="Q63" s="7"/>
      <c r="R63" s="8"/>
      <c r="S63" s="8"/>
      <c r="T63" s="8"/>
      <c r="U63" s="9" t="str">
        <f aca="true">IF(R63="","",IF(T63&lt;&gt;"",T63-R63,TODAY()-R63))</f>
        <v/>
      </c>
      <c r="V63" s="7"/>
      <c r="W63" s="6"/>
    </row>
    <row r="64" customFormat="false" ht="15" hidden="false" customHeight="false" outlineLevel="0" collapsed="false">
      <c r="A64" s="4" t="str">
        <f aca="false">IF(C64="","",IF(B64="","ISS",IFERROR(INDEX(Projects!$B$6:$B$20,MATCH(B64,Projects!$A$6:$A$20,0)),"ISS"))&amp;"-"&amp;TEXT(COUNTIF($B$6:B64,B64),"000"))</f>
        <v/>
      </c>
      <c r="B64" s="5"/>
      <c r="C64" s="6"/>
      <c r="D64" s="6"/>
      <c r="E64" s="7"/>
      <c r="F64" s="5"/>
      <c r="G64" s="5"/>
      <c r="H64" s="5"/>
      <c r="I64" s="5"/>
      <c r="J64" s="5"/>
      <c r="K64" s="6"/>
      <c r="L64" s="6"/>
      <c r="M64" s="6"/>
      <c r="N64" s="7"/>
      <c r="O64" s="6"/>
      <c r="P64" s="7"/>
      <c r="Q64" s="7"/>
      <c r="R64" s="8"/>
      <c r="S64" s="8"/>
      <c r="T64" s="8"/>
      <c r="U64" s="9" t="str">
        <f aca="true">IF(R64="","",IF(T64&lt;&gt;"",T64-R64,TODAY()-R64))</f>
        <v/>
      </c>
      <c r="V64" s="7"/>
      <c r="W64" s="6"/>
    </row>
    <row r="65" customFormat="false" ht="15" hidden="false" customHeight="false" outlineLevel="0" collapsed="false">
      <c r="A65" s="4" t="str">
        <f aca="false">IF(C65="","",IF(B65="","ISS",IFERROR(INDEX(Projects!$B$6:$B$20,MATCH(B65,Projects!$A$6:$A$20,0)),"ISS"))&amp;"-"&amp;TEXT(COUNTIF($B$6:B65,B65),"000"))</f>
        <v/>
      </c>
      <c r="B65" s="5"/>
      <c r="C65" s="6"/>
      <c r="D65" s="6"/>
      <c r="E65" s="7"/>
      <c r="F65" s="5"/>
      <c r="G65" s="5"/>
      <c r="H65" s="5"/>
      <c r="I65" s="5"/>
      <c r="J65" s="5"/>
      <c r="K65" s="6"/>
      <c r="L65" s="6"/>
      <c r="M65" s="6"/>
      <c r="N65" s="7"/>
      <c r="O65" s="6"/>
      <c r="P65" s="7"/>
      <c r="Q65" s="7"/>
      <c r="R65" s="8"/>
      <c r="S65" s="8"/>
      <c r="T65" s="8"/>
      <c r="U65" s="9" t="str">
        <f aca="true">IF(R65="","",IF(T65&lt;&gt;"",T65-R65,TODAY()-R65))</f>
        <v/>
      </c>
      <c r="V65" s="7"/>
      <c r="W65" s="6"/>
    </row>
    <row r="66" customFormat="false" ht="15" hidden="false" customHeight="false" outlineLevel="0" collapsed="false">
      <c r="A66" s="4" t="str">
        <f aca="false">IF(C66="","",IF(B66="","ISS",IFERROR(INDEX(Projects!$B$6:$B$20,MATCH(B66,Projects!$A$6:$A$20,0)),"ISS"))&amp;"-"&amp;TEXT(COUNTIF($B$6:B66,B66),"000"))</f>
        <v/>
      </c>
      <c r="B66" s="5"/>
      <c r="C66" s="6"/>
      <c r="D66" s="6"/>
      <c r="E66" s="7"/>
      <c r="F66" s="5"/>
      <c r="G66" s="5"/>
      <c r="H66" s="5"/>
      <c r="I66" s="5"/>
      <c r="J66" s="5"/>
      <c r="K66" s="6"/>
      <c r="L66" s="6"/>
      <c r="M66" s="6"/>
      <c r="N66" s="7"/>
      <c r="O66" s="6"/>
      <c r="P66" s="7"/>
      <c r="Q66" s="7"/>
      <c r="R66" s="8"/>
      <c r="S66" s="8"/>
      <c r="T66" s="8"/>
      <c r="U66" s="9" t="str">
        <f aca="true">IF(R66="","",IF(T66&lt;&gt;"",T66-R66,TODAY()-R66))</f>
        <v/>
      </c>
      <c r="V66" s="7"/>
      <c r="W66" s="6"/>
    </row>
    <row r="67" customFormat="false" ht="15" hidden="false" customHeight="false" outlineLevel="0" collapsed="false">
      <c r="A67" s="4" t="str">
        <f aca="false">IF(C67="","",IF(B67="","ISS",IFERROR(INDEX(Projects!$B$6:$B$20,MATCH(B67,Projects!$A$6:$A$20,0)),"ISS"))&amp;"-"&amp;TEXT(COUNTIF($B$6:B67,B67),"000"))</f>
        <v/>
      </c>
      <c r="B67" s="5"/>
      <c r="C67" s="6"/>
      <c r="D67" s="6"/>
      <c r="E67" s="7"/>
      <c r="F67" s="5"/>
      <c r="G67" s="5"/>
      <c r="H67" s="5"/>
      <c r="I67" s="5"/>
      <c r="J67" s="5"/>
      <c r="K67" s="6"/>
      <c r="L67" s="6"/>
      <c r="M67" s="6"/>
      <c r="N67" s="7"/>
      <c r="O67" s="6"/>
      <c r="P67" s="7"/>
      <c r="Q67" s="7"/>
      <c r="R67" s="8"/>
      <c r="S67" s="8"/>
      <c r="T67" s="8"/>
      <c r="U67" s="9" t="str">
        <f aca="true">IF(R67="","",IF(T67&lt;&gt;"",T67-R67,TODAY()-R67))</f>
        <v/>
      </c>
      <c r="V67" s="7"/>
      <c r="W67" s="6"/>
    </row>
    <row r="68" customFormat="false" ht="15" hidden="false" customHeight="false" outlineLevel="0" collapsed="false">
      <c r="A68" s="4" t="str">
        <f aca="false">IF(C68="","",IF(B68="","ISS",IFERROR(INDEX(Projects!$B$6:$B$20,MATCH(B68,Projects!$A$6:$A$20,0)),"ISS"))&amp;"-"&amp;TEXT(COUNTIF($B$6:B68,B68),"000"))</f>
        <v/>
      </c>
      <c r="B68" s="5"/>
      <c r="C68" s="6"/>
      <c r="D68" s="6"/>
      <c r="E68" s="7"/>
      <c r="F68" s="5"/>
      <c r="G68" s="5"/>
      <c r="H68" s="5"/>
      <c r="I68" s="5"/>
      <c r="J68" s="5"/>
      <c r="K68" s="6"/>
      <c r="L68" s="6"/>
      <c r="M68" s="6"/>
      <c r="N68" s="7"/>
      <c r="O68" s="6"/>
      <c r="P68" s="7"/>
      <c r="Q68" s="7"/>
      <c r="R68" s="8"/>
      <c r="S68" s="8"/>
      <c r="T68" s="8"/>
      <c r="U68" s="9" t="str">
        <f aca="true">IF(R68="","",IF(T68&lt;&gt;"",T68-R68,TODAY()-R68))</f>
        <v/>
      </c>
      <c r="V68" s="7"/>
      <c r="W68" s="6"/>
    </row>
    <row r="69" customFormat="false" ht="15" hidden="false" customHeight="false" outlineLevel="0" collapsed="false">
      <c r="A69" s="4" t="str">
        <f aca="false">IF(C69="","",IF(B69="","ISS",IFERROR(INDEX(Projects!$B$6:$B$20,MATCH(B69,Projects!$A$6:$A$20,0)),"ISS"))&amp;"-"&amp;TEXT(COUNTIF($B$6:B69,B69),"000"))</f>
        <v/>
      </c>
      <c r="B69" s="5"/>
      <c r="C69" s="6"/>
      <c r="D69" s="6"/>
      <c r="E69" s="7"/>
      <c r="F69" s="5"/>
      <c r="G69" s="5"/>
      <c r="H69" s="5"/>
      <c r="I69" s="5"/>
      <c r="J69" s="5"/>
      <c r="K69" s="6"/>
      <c r="L69" s="6"/>
      <c r="M69" s="6"/>
      <c r="N69" s="7"/>
      <c r="O69" s="6"/>
      <c r="P69" s="7"/>
      <c r="Q69" s="7"/>
      <c r="R69" s="8"/>
      <c r="S69" s="8"/>
      <c r="T69" s="8"/>
      <c r="U69" s="9" t="str">
        <f aca="true">IF(R69="","",IF(T69&lt;&gt;"",T69-R69,TODAY()-R69))</f>
        <v/>
      </c>
      <c r="V69" s="7"/>
      <c r="W69" s="6"/>
    </row>
    <row r="70" customFormat="false" ht="15" hidden="false" customHeight="false" outlineLevel="0" collapsed="false">
      <c r="A70" s="4" t="str">
        <f aca="false">IF(C70="","",IF(B70="","ISS",IFERROR(INDEX(Projects!$B$6:$B$20,MATCH(B70,Projects!$A$6:$A$20,0)),"ISS"))&amp;"-"&amp;TEXT(COUNTIF($B$6:B70,B70),"000"))</f>
        <v/>
      </c>
      <c r="B70" s="5"/>
      <c r="C70" s="6"/>
      <c r="D70" s="6"/>
      <c r="E70" s="7"/>
      <c r="F70" s="5"/>
      <c r="G70" s="5"/>
      <c r="H70" s="5"/>
      <c r="I70" s="5"/>
      <c r="J70" s="5"/>
      <c r="K70" s="6"/>
      <c r="L70" s="6"/>
      <c r="M70" s="6"/>
      <c r="N70" s="7"/>
      <c r="O70" s="6"/>
      <c r="P70" s="7"/>
      <c r="Q70" s="7"/>
      <c r="R70" s="8"/>
      <c r="S70" s="8"/>
      <c r="T70" s="8"/>
      <c r="U70" s="9" t="str">
        <f aca="true">IF(R70="","",IF(T70&lt;&gt;"",T70-R70,TODAY()-R70))</f>
        <v/>
      </c>
      <c r="V70" s="7"/>
      <c r="W70" s="6"/>
    </row>
    <row r="71" customFormat="false" ht="15" hidden="false" customHeight="false" outlineLevel="0" collapsed="false">
      <c r="A71" s="4" t="str">
        <f aca="false">IF(C71="","",IF(B71="","ISS",IFERROR(INDEX(Projects!$B$6:$B$20,MATCH(B71,Projects!$A$6:$A$20,0)),"ISS"))&amp;"-"&amp;TEXT(COUNTIF($B$6:B71,B71),"000"))</f>
        <v/>
      </c>
      <c r="B71" s="5"/>
      <c r="C71" s="6"/>
      <c r="D71" s="6"/>
      <c r="E71" s="7"/>
      <c r="F71" s="5"/>
      <c r="G71" s="5"/>
      <c r="H71" s="5"/>
      <c r="I71" s="5"/>
      <c r="J71" s="5"/>
      <c r="K71" s="6"/>
      <c r="L71" s="6"/>
      <c r="M71" s="6"/>
      <c r="N71" s="7"/>
      <c r="O71" s="6"/>
      <c r="P71" s="7"/>
      <c r="Q71" s="7"/>
      <c r="R71" s="8"/>
      <c r="S71" s="8"/>
      <c r="T71" s="8"/>
      <c r="U71" s="9" t="str">
        <f aca="true">IF(R71="","",IF(T71&lt;&gt;"",T71-R71,TODAY()-R71))</f>
        <v/>
      </c>
      <c r="V71" s="7"/>
      <c r="W71" s="6"/>
    </row>
    <row r="72" customFormat="false" ht="15" hidden="false" customHeight="false" outlineLevel="0" collapsed="false">
      <c r="A72" s="4" t="str">
        <f aca="false">IF(C72="","",IF(B72="","ISS",IFERROR(INDEX(Projects!$B$6:$B$20,MATCH(B72,Projects!$A$6:$A$20,0)),"ISS"))&amp;"-"&amp;TEXT(COUNTIF($B$6:B72,B72),"000"))</f>
        <v/>
      </c>
      <c r="B72" s="5"/>
      <c r="C72" s="6"/>
      <c r="D72" s="6"/>
      <c r="E72" s="7"/>
      <c r="F72" s="5"/>
      <c r="G72" s="5"/>
      <c r="H72" s="5"/>
      <c r="I72" s="5"/>
      <c r="J72" s="5"/>
      <c r="K72" s="6"/>
      <c r="L72" s="6"/>
      <c r="M72" s="6"/>
      <c r="N72" s="7"/>
      <c r="O72" s="6"/>
      <c r="P72" s="7"/>
      <c r="Q72" s="7"/>
      <c r="R72" s="8"/>
      <c r="S72" s="8"/>
      <c r="T72" s="8"/>
      <c r="U72" s="9" t="str">
        <f aca="true">IF(R72="","",IF(T72&lt;&gt;"",T72-R72,TODAY()-R72))</f>
        <v/>
      </c>
      <c r="V72" s="7"/>
      <c r="W72" s="6"/>
    </row>
    <row r="73" customFormat="false" ht="15" hidden="false" customHeight="false" outlineLevel="0" collapsed="false">
      <c r="A73" s="4" t="str">
        <f aca="false">IF(C73="","",IF(B73="","ISS",IFERROR(INDEX(Projects!$B$6:$B$20,MATCH(B73,Projects!$A$6:$A$20,0)),"ISS"))&amp;"-"&amp;TEXT(COUNTIF($B$6:B73,B73),"000"))</f>
        <v/>
      </c>
      <c r="B73" s="5"/>
      <c r="C73" s="6"/>
      <c r="D73" s="6"/>
      <c r="E73" s="7"/>
      <c r="F73" s="5"/>
      <c r="G73" s="5"/>
      <c r="H73" s="5"/>
      <c r="I73" s="5"/>
      <c r="J73" s="5"/>
      <c r="K73" s="6"/>
      <c r="L73" s="6"/>
      <c r="M73" s="6"/>
      <c r="N73" s="7"/>
      <c r="O73" s="6"/>
      <c r="P73" s="7"/>
      <c r="Q73" s="7"/>
      <c r="R73" s="8"/>
      <c r="S73" s="8"/>
      <c r="T73" s="8"/>
      <c r="U73" s="9" t="str">
        <f aca="true">IF(R73="","",IF(T73&lt;&gt;"",T73-R73,TODAY()-R73))</f>
        <v/>
      </c>
      <c r="V73" s="7"/>
      <c r="W73" s="6"/>
    </row>
    <row r="74" customFormat="false" ht="15" hidden="false" customHeight="false" outlineLevel="0" collapsed="false">
      <c r="A74" s="4" t="str">
        <f aca="false">IF(C74="","",IF(B74="","ISS",IFERROR(INDEX(Projects!$B$6:$B$20,MATCH(B74,Projects!$A$6:$A$20,0)),"ISS"))&amp;"-"&amp;TEXT(COUNTIF($B$6:B74,B74),"000"))</f>
        <v/>
      </c>
      <c r="B74" s="5"/>
      <c r="C74" s="6"/>
      <c r="D74" s="6"/>
      <c r="E74" s="7"/>
      <c r="F74" s="5"/>
      <c r="G74" s="5"/>
      <c r="H74" s="5"/>
      <c r="I74" s="5"/>
      <c r="J74" s="5"/>
      <c r="K74" s="6"/>
      <c r="L74" s="6"/>
      <c r="M74" s="6"/>
      <c r="N74" s="7"/>
      <c r="O74" s="6"/>
      <c r="P74" s="7"/>
      <c r="Q74" s="7"/>
      <c r="R74" s="8"/>
      <c r="S74" s="8"/>
      <c r="T74" s="8"/>
      <c r="U74" s="9" t="str">
        <f aca="true">IF(R74="","",IF(T74&lt;&gt;"",T74-R74,TODAY()-R74))</f>
        <v/>
      </c>
      <c r="V74" s="7"/>
      <c r="W74" s="6"/>
    </row>
    <row r="75" customFormat="false" ht="15" hidden="false" customHeight="false" outlineLevel="0" collapsed="false">
      <c r="A75" s="4" t="str">
        <f aca="false">IF(C75="","",IF(B75="","ISS",IFERROR(INDEX(Projects!$B$6:$B$20,MATCH(B75,Projects!$A$6:$A$20,0)),"ISS"))&amp;"-"&amp;TEXT(COUNTIF($B$6:B75,B75),"000"))</f>
        <v/>
      </c>
      <c r="B75" s="5"/>
      <c r="C75" s="6"/>
      <c r="D75" s="6"/>
      <c r="E75" s="7"/>
      <c r="F75" s="5"/>
      <c r="G75" s="5"/>
      <c r="H75" s="5"/>
      <c r="I75" s="5"/>
      <c r="J75" s="5"/>
      <c r="K75" s="6"/>
      <c r="L75" s="6"/>
      <c r="M75" s="6"/>
      <c r="N75" s="7"/>
      <c r="O75" s="6"/>
      <c r="P75" s="7"/>
      <c r="Q75" s="7"/>
      <c r="R75" s="8"/>
      <c r="S75" s="8"/>
      <c r="T75" s="8"/>
      <c r="U75" s="9" t="str">
        <f aca="true">IF(R75="","",IF(T75&lt;&gt;"",T75-R75,TODAY()-R75))</f>
        <v/>
      </c>
      <c r="V75" s="7"/>
      <c r="W75" s="6"/>
    </row>
    <row r="76" customFormat="false" ht="15" hidden="false" customHeight="false" outlineLevel="0" collapsed="false">
      <c r="A76" s="4" t="str">
        <f aca="false">IF(C76="","",IF(B76="","ISS",IFERROR(INDEX(Projects!$B$6:$B$20,MATCH(B76,Projects!$A$6:$A$20,0)),"ISS"))&amp;"-"&amp;TEXT(COUNTIF($B$6:B76,B76),"000"))</f>
        <v/>
      </c>
      <c r="B76" s="5"/>
      <c r="C76" s="6"/>
      <c r="D76" s="6"/>
      <c r="E76" s="7"/>
      <c r="F76" s="5"/>
      <c r="G76" s="5"/>
      <c r="H76" s="5"/>
      <c r="I76" s="5"/>
      <c r="J76" s="5"/>
      <c r="K76" s="6"/>
      <c r="L76" s="6"/>
      <c r="M76" s="6"/>
      <c r="N76" s="7"/>
      <c r="O76" s="6"/>
      <c r="P76" s="7"/>
      <c r="Q76" s="7"/>
      <c r="R76" s="8"/>
      <c r="S76" s="8"/>
      <c r="T76" s="8"/>
      <c r="U76" s="9" t="str">
        <f aca="true">IF(R76="","",IF(T76&lt;&gt;"",T76-R76,TODAY()-R76))</f>
        <v/>
      </c>
      <c r="V76" s="7"/>
      <c r="W76" s="6"/>
    </row>
    <row r="77" customFormat="false" ht="15" hidden="false" customHeight="false" outlineLevel="0" collapsed="false">
      <c r="A77" s="4" t="str">
        <f aca="false">IF(C77="","",IF(B77="","ISS",IFERROR(INDEX(Projects!$B$6:$B$20,MATCH(B77,Projects!$A$6:$A$20,0)),"ISS"))&amp;"-"&amp;TEXT(COUNTIF($B$6:B77,B77),"000"))</f>
        <v/>
      </c>
      <c r="B77" s="5"/>
      <c r="C77" s="6"/>
      <c r="D77" s="6"/>
      <c r="E77" s="7"/>
      <c r="F77" s="5"/>
      <c r="G77" s="5"/>
      <c r="H77" s="5"/>
      <c r="I77" s="5"/>
      <c r="J77" s="5"/>
      <c r="K77" s="6"/>
      <c r="L77" s="6"/>
      <c r="M77" s="6"/>
      <c r="N77" s="7"/>
      <c r="O77" s="6"/>
      <c r="P77" s="7"/>
      <c r="Q77" s="7"/>
      <c r="R77" s="8"/>
      <c r="S77" s="8"/>
      <c r="T77" s="8"/>
      <c r="U77" s="9" t="str">
        <f aca="true">IF(R77="","",IF(T77&lt;&gt;"",T77-R77,TODAY()-R77))</f>
        <v/>
      </c>
      <c r="V77" s="7"/>
      <c r="W77" s="6"/>
    </row>
    <row r="78" customFormat="false" ht="15" hidden="false" customHeight="false" outlineLevel="0" collapsed="false">
      <c r="A78" s="4" t="str">
        <f aca="false">IF(C78="","",IF(B78="","ISS",IFERROR(INDEX(Projects!$B$6:$B$20,MATCH(B78,Projects!$A$6:$A$20,0)),"ISS"))&amp;"-"&amp;TEXT(COUNTIF($B$6:B78,B78),"000"))</f>
        <v/>
      </c>
      <c r="B78" s="5"/>
      <c r="C78" s="6"/>
      <c r="D78" s="6"/>
      <c r="E78" s="7"/>
      <c r="F78" s="5"/>
      <c r="G78" s="5"/>
      <c r="H78" s="5"/>
      <c r="I78" s="5"/>
      <c r="J78" s="5"/>
      <c r="K78" s="6"/>
      <c r="L78" s="6"/>
      <c r="M78" s="6"/>
      <c r="N78" s="7"/>
      <c r="O78" s="6"/>
      <c r="P78" s="7"/>
      <c r="Q78" s="7"/>
      <c r="R78" s="8"/>
      <c r="S78" s="8"/>
      <c r="T78" s="8"/>
      <c r="U78" s="9" t="str">
        <f aca="true">IF(R78="","",IF(T78&lt;&gt;"",T78-R78,TODAY()-R78))</f>
        <v/>
      </c>
      <c r="V78" s="7"/>
      <c r="W78" s="6"/>
    </row>
    <row r="79" customFormat="false" ht="15" hidden="false" customHeight="false" outlineLevel="0" collapsed="false">
      <c r="A79" s="4" t="str">
        <f aca="false">IF(C79="","",IF(B79="","ISS",IFERROR(INDEX(Projects!$B$6:$B$20,MATCH(B79,Projects!$A$6:$A$20,0)),"ISS"))&amp;"-"&amp;TEXT(COUNTIF($B$6:B79,B79),"000"))</f>
        <v/>
      </c>
      <c r="B79" s="5"/>
      <c r="C79" s="6"/>
      <c r="D79" s="6"/>
      <c r="E79" s="7"/>
      <c r="F79" s="5"/>
      <c r="G79" s="5"/>
      <c r="H79" s="5"/>
      <c r="I79" s="5"/>
      <c r="J79" s="5"/>
      <c r="K79" s="6"/>
      <c r="L79" s="6"/>
      <c r="M79" s="6"/>
      <c r="N79" s="7"/>
      <c r="O79" s="6"/>
      <c r="P79" s="7"/>
      <c r="Q79" s="7"/>
      <c r="R79" s="8"/>
      <c r="S79" s="8"/>
      <c r="T79" s="8"/>
      <c r="U79" s="9" t="str">
        <f aca="true">IF(R79="","",IF(T79&lt;&gt;"",T79-R79,TODAY()-R79))</f>
        <v/>
      </c>
      <c r="V79" s="7"/>
      <c r="W79" s="6"/>
    </row>
    <row r="80" customFormat="false" ht="15" hidden="false" customHeight="false" outlineLevel="0" collapsed="false">
      <c r="A80" s="4" t="str">
        <f aca="false">IF(C80="","",IF(B80="","ISS",IFERROR(INDEX(Projects!$B$6:$B$20,MATCH(B80,Projects!$A$6:$A$20,0)),"ISS"))&amp;"-"&amp;TEXT(COUNTIF($B$6:B80,B80),"000"))</f>
        <v/>
      </c>
      <c r="B80" s="5"/>
      <c r="C80" s="6"/>
      <c r="D80" s="6"/>
      <c r="E80" s="7"/>
      <c r="F80" s="5"/>
      <c r="G80" s="5"/>
      <c r="H80" s="5"/>
      <c r="I80" s="5"/>
      <c r="J80" s="5"/>
      <c r="K80" s="6"/>
      <c r="L80" s="6"/>
      <c r="M80" s="6"/>
      <c r="N80" s="7"/>
      <c r="O80" s="6"/>
      <c r="P80" s="7"/>
      <c r="Q80" s="7"/>
      <c r="R80" s="8"/>
      <c r="S80" s="8"/>
      <c r="T80" s="8"/>
      <c r="U80" s="9" t="str">
        <f aca="true">IF(R80="","",IF(T80&lt;&gt;"",T80-R80,TODAY()-R80))</f>
        <v/>
      </c>
      <c r="V80" s="7"/>
      <c r="W80" s="6"/>
    </row>
    <row r="81" customFormat="false" ht="15" hidden="false" customHeight="false" outlineLevel="0" collapsed="false">
      <c r="A81" s="4" t="str">
        <f aca="false">IF(C81="","",IF(B81="","ISS",IFERROR(INDEX(Projects!$B$6:$B$20,MATCH(B81,Projects!$A$6:$A$20,0)),"ISS"))&amp;"-"&amp;TEXT(COUNTIF($B$6:B81,B81),"000"))</f>
        <v/>
      </c>
      <c r="B81" s="5"/>
      <c r="C81" s="6"/>
      <c r="D81" s="6"/>
      <c r="E81" s="7"/>
      <c r="F81" s="5"/>
      <c r="G81" s="5"/>
      <c r="H81" s="5"/>
      <c r="I81" s="5"/>
      <c r="J81" s="5"/>
      <c r="K81" s="6"/>
      <c r="L81" s="6"/>
      <c r="M81" s="6"/>
      <c r="N81" s="7"/>
      <c r="O81" s="6"/>
      <c r="P81" s="7"/>
      <c r="Q81" s="7"/>
      <c r="R81" s="8"/>
      <c r="S81" s="8"/>
      <c r="T81" s="8"/>
      <c r="U81" s="9" t="str">
        <f aca="true">IF(R81="","",IF(T81&lt;&gt;"",T81-R81,TODAY()-R81))</f>
        <v/>
      </c>
      <c r="V81" s="7"/>
      <c r="W81" s="6"/>
    </row>
    <row r="82" customFormat="false" ht="15" hidden="false" customHeight="false" outlineLevel="0" collapsed="false">
      <c r="A82" s="4" t="str">
        <f aca="false">IF(C82="","",IF(B82="","ISS",IFERROR(INDEX(Projects!$B$6:$B$20,MATCH(B82,Projects!$A$6:$A$20,0)),"ISS"))&amp;"-"&amp;TEXT(COUNTIF($B$6:B82,B82),"000"))</f>
        <v/>
      </c>
      <c r="B82" s="5"/>
      <c r="C82" s="6"/>
      <c r="D82" s="6"/>
      <c r="E82" s="7"/>
      <c r="F82" s="5"/>
      <c r="G82" s="5"/>
      <c r="H82" s="5"/>
      <c r="I82" s="5"/>
      <c r="J82" s="5"/>
      <c r="K82" s="6"/>
      <c r="L82" s="6"/>
      <c r="M82" s="6"/>
      <c r="N82" s="7"/>
      <c r="O82" s="6"/>
      <c r="P82" s="7"/>
      <c r="Q82" s="7"/>
      <c r="R82" s="8"/>
      <c r="S82" s="8"/>
      <c r="T82" s="8"/>
      <c r="U82" s="9" t="str">
        <f aca="true">IF(R82="","",IF(T82&lt;&gt;"",T82-R82,TODAY()-R82))</f>
        <v/>
      </c>
      <c r="V82" s="7"/>
      <c r="W82" s="6"/>
    </row>
    <row r="83" customFormat="false" ht="15" hidden="false" customHeight="false" outlineLevel="0" collapsed="false">
      <c r="A83" s="4" t="str">
        <f aca="false">IF(C83="","",IF(B83="","ISS",IFERROR(INDEX(Projects!$B$6:$B$20,MATCH(B83,Projects!$A$6:$A$20,0)),"ISS"))&amp;"-"&amp;TEXT(COUNTIF($B$6:B83,B83),"000"))</f>
        <v/>
      </c>
      <c r="B83" s="5"/>
      <c r="C83" s="6"/>
      <c r="D83" s="6"/>
      <c r="E83" s="7"/>
      <c r="F83" s="5"/>
      <c r="G83" s="5"/>
      <c r="H83" s="5"/>
      <c r="I83" s="5"/>
      <c r="J83" s="5"/>
      <c r="K83" s="6"/>
      <c r="L83" s="6"/>
      <c r="M83" s="6"/>
      <c r="N83" s="7"/>
      <c r="O83" s="6"/>
      <c r="P83" s="7"/>
      <c r="Q83" s="7"/>
      <c r="R83" s="8"/>
      <c r="S83" s="8"/>
      <c r="T83" s="8"/>
      <c r="U83" s="9" t="str">
        <f aca="true">IF(R83="","",IF(T83&lt;&gt;"",T83-R83,TODAY()-R83))</f>
        <v/>
      </c>
      <c r="V83" s="7"/>
      <c r="W83" s="6"/>
    </row>
    <row r="84" customFormat="false" ht="15" hidden="false" customHeight="false" outlineLevel="0" collapsed="false">
      <c r="A84" s="4" t="str">
        <f aca="false">IF(C84="","",IF(B84="","ISS",IFERROR(INDEX(Projects!$B$6:$B$20,MATCH(B84,Projects!$A$6:$A$20,0)),"ISS"))&amp;"-"&amp;TEXT(COUNTIF($B$6:B84,B84),"000"))</f>
        <v/>
      </c>
      <c r="B84" s="5"/>
      <c r="C84" s="6"/>
      <c r="D84" s="6"/>
      <c r="E84" s="7"/>
      <c r="F84" s="5"/>
      <c r="G84" s="5"/>
      <c r="H84" s="5"/>
      <c r="I84" s="5"/>
      <c r="J84" s="5"/>
      <c r="K84" s="6"/>
      <c r="L84" s="6"/>
      <c r="M84" s="6"/>
      <c r="N84" s="7"/>
      <c r="O84" s="6"/>
      <c r="P84" s="7"/>
      <c r="Q84" s="7"/>
      <c r="R84" s="8"/>
      <c r="S84" s="8"/>
      <c r="T84" s="8"/>
      <c r="U84" s="9" t="str">
        <f aca="true">IF(R84="","",IF(T84&lt;&gt;"",T84-R84,TODAY()-R84))</f>
        <v/>
      </c>
      <c r="V84" s="7"/>
      <c r="W84" s="6"/>
    </row>
    <row r="85" customFormat="false" ht="15" hidden="false" customHeight="false" outlineLevel="0" collapsed="false">
      <c r="A85" s="4" t="str">
        <f aca="false">IF(C85="","",IF(B85="","ISS",IFERROR(INDEX(Projects!$B$6:$B$20,MATCH(B85,Projects!$A$6:$A$20,0)),"ISS"))&amp;"-"&amp;TEXT(COUNTIF($B$6:B85,B85),"000"))</f>
        <v/>
      </c>
      <c r="B85" s="5"/>
      <c r="C85" s="6"/>
      <c r="D85" s="6"/>
      <c r="E85" s="7"/>
      <c r="F85" s="5"/>
      <c r="G85" s="5"/>
      <c r="H85" s="5"/>
      <c r="I85" s="5"/>
      <c r="J85" s="5"/>
      <c r="K85" s="6"/>
      <c r="L85" s="6"/>
      <c r="M85" s="6"/>
      <c r="N85" s="7"/>
      <c r="O85" s="6"/>
      <c r="P85" s="7"/>
      <c r="Q85" s="7"/>
      <c r="R85" s="8"/>
      <c r="S85" s="8"/>
      <c r="T85" s="8"/>
      <c r="U85" s="9" t="str">
        <f aca="true">IF(R85="","",IF(T85&lt;&gt;"",T85-R85,TODAY()-R85))</f>
        <v/>
      </c>
      <c r="V85" s="7"/>
      <c r="W85" s="6"/>
    </row>
    <row r="86" customFormat="false" ht="15" hidden="false" customHeight="false" outlineLevel="0" collapsed="false">
      <c r="A86" s="4" t="str">
        <f aca="false">IF(C86="","",IF(B86="","ISS",IFERROR(INDEX(Projects!$B$6:$B$20,MATCH(B86,Projects!$A$6:$A$20,0)),"ISS"))&amp;"-"&amp;TEXT(COUNTIF($B$6:B86,B86),"000"))</f>
        <v/>
      </c>
      <c r="B86" s="5"/>
      <c r="C86" s="6"/>
      <c r="D86" s="6"/>
      <c r="E86" s="7"/>
      <c r="F86" s="5"/>
      <c r="G86" s="5"/>
      <c r="H86" s="5"/>
      <c r="I86" s="5"/>
      <c r="J86" s="5"/>
      <c r="K86" s="6"/>
      <c r="L86" s="6"/>
      <c r="M86" s="6"/>
      <c r="N86" s="7"/>
      <c r="O86" s="6"/>
      <c r="P86" s="7"/>
      <c r="Q86" s="7"/>
      <c r="R86" s="8"/>
      <c r="S86" s="8"/>
      <c r="T86" s="8"/>
      <c r="U86" s="9" t="str">
        <f aca="true">IF(R86="","",IF(T86&lt;&gt;"",T86-R86,TODAY()-R86))</f>
        <v/>
      </c>
      <c r="V86" s="7"/>
      <c r="W86" s="6"/>
    </row>
    <row r="87" customFormat="false" ht="15" hidden="false" customHeight="false" outlineLevel="0" collapsed="false">
      <c r="A87" s="4" t="str">
        <f aca="false">IF(C87="","",IF(B87="","ISS",IFERROR(INDEX(Projects!$B$6:$B$20,MATCH(B87,Projects!$A$6:$A$20,0)),"ISS"))&amp;"-"&amp;TEXT(COUNTIF($B$6:B87,B87),"000"))</f>
        <v/>
      </c>
      <c r="B87" s="5"/>
      <c r="C87" s="6"/>
      <c r="D87" s="6"/>
      <c r="E87" s="7"/>
      <c r="F87" s="5"/>
      <c r="G87" s="5"/>
      <c r="H87" s="5"/>
      <c r="I87" s="5"/>
      <c r="J87" s="5"/>
      <c r="K87" s="6"/>
      <c r="L87" s="6"/>
      <c r="M87" s="6"/>
      <c r="N87" s="7"/>
      <c r="O87" s="6"/>
      <c r="P87" s="7"/>
      <c r="Q87" s="7"/>
      <c r="R87" s="8"/>
      <c r="S87" s="8"/>
      <c r="T87" s="8"/>
      <c r="U87" s="9" t="str">
        <f aca="true">IF(R87="","",IF(T87&lt;&gt;"",T87-R87,TODAY()-R87))</f>
        <v/>
      </c>
      <c r="V87" s="7"/>
      <c r="W87" s="6"/>
    </row>
    <row r="88" customFormat="false" ht="15" hidden="false" customHeight="false" outlineLevel="0" collapsed="false">
      <c r="A88" s="4" t="str">
        <f aca="false">IF(C88="","",IF(B88="","ISS",IFERROR(INDEX(Projects!$B$6:$B$20,MATCH(B88,Projects!$A$6:$A$20,0)),"ISS"))&amp;"-"&amp;TEXT(COUNTIF($B$6:B88,B88),"000"))</f>
        <v/>
      </c>
      <c r="B88" s="5"/>
      <c r="C88" s="6"/>
      <c r="D88" s="6"/>
      <c r="E88" s="7"/>
      <c r="F88" s="5"/>
      <c r="G88" s="5"/>
      <c r="H88" s="5"/>
      <c r="I88" s="5"/>
      <c r="J88" s="5"/>
      <c r="K88" s="6"/>
      <c r="L88" s="6"/>
      <c r="M88" s="6"/>
      <c r="N88" s="7"/>
      <c r="O88" s="6"/>
      <c r="P88" s="7"/>
      <c r="Q88" s="7"/>
      <c r="R88" s="8"/>
      <c r="S88" s="8"/>
      <c r="T88" s="8"/>
      <c r="U88" s="9" t="str">
        <f aca="true">IF(R88="","",IF(T88&lt;&gt;"",T88-R88,TODAY()-R88))</f>
        <v/>
      </c>
      <c r="V88" s="7"/>
      <c r="W88" s="6"/>
    </row>
    <row r="89" customFormat="false" ht="15" hidden="false" customHeight="false" outlineLevel="0" collapsed="false">
      <c r="A89" s="4" t="str">
        <f aca="false">IF(C89="","",IF(B89="","ISS",IFERROR(INDEX(Projects!$B$6:$B$20,MATCH(B89,Projects!$A$6:$A$20,0)),"ISS"))&amp;"-"&amp;TEXT(COUNTIF($B$6:B89,B89),"000"))</f>
        <v/>
      </c>
      <c r="B89" s="5"/>
      <c r="C89" s="6"/>
      <c r="D89" s="6"/>
      <c r="E89" s="7"/>
      <c r="F89" s="5"/>
      <c r="G89" s="5"/>
      <c r="H89" s="5"/>
      <c r="I89" s="5"/>
      <c r="J89" s="5"/>
      <c r="K89" s="6"/>
      <c r="L89" s="6"/>
      <c r="M89" s="6"/>
      <c r="N89" s="7"/>
      <c r="O89" s="6"/>
      <c r="P89" s="7"/>
      <c r="Q89" s="7"/>
      <c r="R89" s="8"/>
      <c r="S89" s="8"/>
      <c r="T89" s="8"/>
      <c r="U89" s="9" t="str">
        <f aca="true">IF(R89="","",IF(T89&lt;&gt;"",T89-R89,TODAY()-R89))</f>
        <v/>
      </c>
      <c r="V89" s="7"/>
      <c r="W89" s="6"/>
    </row>
    <row r="90" customFormat="false" ht="15" hidden="false" customHeight="false" outlineLevel="0" collapsed="false">
      <c r="A90" s="4" t="str">
        <f aca="false">IF(C90="","",IF(B90="","ISS",IFERROR(INDEX(Projects!$B$6:$B$20,MATCH(B90,Projects!$A$6:$A$20,0)),"ISS"))&amp;"-"&amp;TEXT(COUNTIF($B$6:B90,B90),"000"))</f>
        <v/>
      </c>
      <c r="B90" s="5"/>
      <c r="C90" s="6"/>
      <c r="D90" s="6"/>
      <c r="E90" s="7"/>
      <c r="F90" s="5"/>
      <c r="G90" s="5"/>
      <c r="H90" s="5"/>
      <c r="I90" s="5"/>
      <c r="J90" s="5"/>
      <c r="K90" s="6"/>
      <c r="L90" s="6"/>
      <c r="M90" s="6"/>
      <c r="N90" s="7"/>
      <c r="O90" s="6"/>
      <c r="P90" s="7"/>
      <c r="Q90" s="7"/>
      <c r="R90" s="8"/>
      <c r="S90" s="8"/>
      <c r="T90" s="8"/>
      <c r="U90" s="9" t="str">
        <f aca="true">IF(R90="","",IF(T90&lt;&gt;"",T90-R90,TODAY()-R90))</f>
        <v/>
      </c>
      <c r="V90" s="7"/>
      <c r="W90" s="6"/>
    </row>
    <row r="91" customFormat="false" ht="15" hidden="false" customHeight="false" outlineLevel="0" collapsed="false">
      <c r="A91" s="4" t="str">
        <f aca="false">IF(C91="","",IF(B91="","ISS",IFERROR(INDEX(Projects!$B$6:$B$20,MATCH(B91,Projects!$A$6:$A$20,0)),"ISS"))&amp;"-"&amp;TEXT(COUNTIF($B$6:B91,B91),"000"))</f>
        <v/>
      </c>
      <c r="B91" s="5"/>
      <c r="C91" s="6"/>
      <c r="D91" s="6"/>
      <c r="E91" s="7"/>
      <c r="F91" s="5"/>
      <c r="G91" s="5"/>
      <c r="H91" s="5"/>
      <c r="I91" s="5"/>
      <c r="J91" s="5"/>
      <c r="K91" s="6"/>
      <c r="L91" s="6"/>
      <c r="M91" s="6"/>
      <c r="N91" s="7"/>
      <c r="O91" s="6"/>
      <c r="P91" s="7"/>
      <c r="Q91" s="7"/>
      <c r="R91" s="8"/>
      <c r="S91" s="8"/>
      <c r="T91" s="8"/>
      <c r="U91" s="9" t="str">
        <f aca="true">IF(R91="","",IF(T91&lt;&gt;"",T91-R91,TODAY()-R91))</f>
        <v/>
      </c>
      <c r="V91" s="7"/>
      <c r="W91" s="6"/>
    </row>
    <row r="92" customFormat="false" ht="15" hidden="false" customHeight="false" outlineLevel="0" collapsed="false">
      <c r="A92" s="4" t="str">
        <f aca="false">IF(C92="","",IF(B92="","ISS",IFERROR(INDEX(Projects!$B$6:$B$20,MATCH(B92,Projects!$A$6:$A$20,0)),"ISS"))&amp;"-"&amp;TEXT(COUNTIF($B$6:B92,B92),"000"))</f>
        <v/>
      </c>
      <c r="B92" s="5"/>
      <c r="C92" s="6"/>
      <c r="D92" s="6"/>
      <c r="E92" s="7"/>
      <c r="F92" s="5"/>
      <c r="G92" s="5"/>
      <c r="H92" s="5"/>
      <c r="I92" s="5"/>
      <c r="J92" s="5"/>
      <c r="K92" s="6"/>
      <c r="L92" s="6"/>
      <c r="M92" s="6"/>
      <c r="N92" s="7"/>
      <c r="O92" s="6"/>
      <c r="P92" s="7"/>
      <c r="Q92" s="7"/>
      <c r="R92" s="8"/>
      <c r="S92" s="8"/>
      <c r="T92" s="8"/>
      <c r="U92" s="9" t="str">
        <f aca="true">IF(R92="","",IF(T92&lt;&gt;"",T92-R92,TODAY()-R92))</f>
        <v/>
      </c>
      <c r="V92" s="7"/>
      <c r="W92" s="6"/>
    </row>
    <row r="93" customFormat="false" ht="15" hidden="false" customHeight="false" outlineLevel="0" collapsed="false">
      <c r="A93" s="4" t="str">
        <f aca="false">IF(C93="","",IF(B93="","ISS",IFERROR(INDEX(Projects!$B$6:$B$20,MATCH(B93,Projects!$A$6:$A$20,0)),"ISS"))&amp;"-"&amp;TEXT(COUNTIF($B$6:B93,B93),"000"))</f>
        <v/>
      </c>
      <c r="B93" s="5"/>
      <c r="C93" s="6"/>
      <c r="D93" s="6"/>
      <c r="E93" s="7"/>
      <c r="F93" s="5"/>
      <c r="G93" s="5"/>
      <c r="H93" s="5"/>
      <c r="I93" s="5"/>
      <c r="J93" s="5"/>
      <c r="K93" s="6"/>
      <c r="L93" s="6"/>
      <c r="M93" s="6"/>
      <c r="N93" s="7"/>
      <c r="O93" s="6"/>
      <c r="P93" s="7"/>
      <c r="Q93" s="7"/>
      <c r="R93" s="8"/>
      <c r="S93" s="8"/>
      <c r="T93" s="8"/>
      <c r="U93" s="9" t="str">
        <f aca="true">IF(R93="","",IF(T93&lt;&gt;"",T93-R93,TODAY()-R93))</f>
        <v/>
      </c>
      <c r="V93" s="7"/>
      <c r="W93" s="6"/>
    </row>
    <row r="94" customFormat="false" ht="15" hidden="false" customHeight="false" outlineLevel="0" collapsed="false">
      <c r="A94" s="4" t="str">
        <f aca="false">IF(C94="","",IF(B94="","ISS",IFERROR(INDEX(Projects!$B$6:$B$20,MATCH(B94,Projects!$A$6:$A$20,0)),"ISS"))&amp;"-"&amp;TEXT(COUNTIF($B$6:B94,B94),"000"))</f>
        <v/>
      </c>
      <c r="B94" s="5"/>
      <c r="C94" s="6"/>
      <c r="D94" s="6"/>
      <c r="E94" s="7"/>
      <c r="F94" s="5"/>
      <c r="G94" s="5"/>
      <c r="H94" s="5"/>
      <c r="I94" s="5"/>
      <c r="J94" s="5"/>
      <c r="K94" s="6"/>
      <c r="L94" s="6"/>
      <c r="M94" s="6"/>
      <c r="N94" s="7"/>
      <c r="O94" s="6"/>
      <c r="P94" s="7"/>
      <c r="Q94" s="7"/>
      <c r="R94" s="8"/>
      <c r="S94" s="8"/>
      <c r="T94" s="8"/>
      <c r="U94" s="9" t="str">
        <f aca="true">IF(R94="","",IF(T94&lt;&gt;"",T94-R94,TODAY()-R94))</f>
        <v/>
      </c>
      <c r="V94" s="7"/>
      <c r="W94" s="6"/>
    </row>
    <row r="95" customFormat="false" ht="15" hidden="false" customHeight="false" outlineLevel="0" collapsed="false">
      <c r="A95" s="4" t="str">
        <f aca="false">IF(C95="","",IF(B95="","ISS",IFERROR(INDEX(Projects!$B$6:$B$20,MATCH(B95,Projects!$A$6:$A$20,0)),"ISS"))&amp;"-"&amp;TEXT(COUNTIF($B$6:B95,B95),"000"))</f>
        <v/>
      </c>
      <c r="B95" s="5"/>
      <c r="C95" s="6"/>
      <c r="D95" s="6"/>
      <c r="E95" s="7"/>
      <c r="F95" s="5"/>
      <c r="G95" s="5"/>
      <c r="H95" s="5"/>
      <c r="I95" s="5"/>
      <c r="J95" s="5"/>
      <c r="K95" s="6"/>
      <c r="L95" s="6"/>
      <c r="M95" s="6"/>
      <c r="N95" s="7"/>
      <c r="O95" s="6"/>
      <c r="P95" s="7"/>
      <c r="Q95" s="7"/>
      <c r="R95" s="8"/>
      <c r="S95" s="8"/>
      <c r="T95" s="8"/>
      <c r="U95" s="9" t="str">
        <f aca="true">IF(R95="","",IF(T95&lt;&gt;"",T95-R95,TODAY()-R95))</f>
        <v/>
      </c>
      <c r="V95" s="7"/>
      <c r="W95" s="6"/>
    </row>
    <row r="96" customFormat="false" ht="15" hidden="false" customHeight="false" outlineLevel="0" collapsed="false">
      <c r="A96" s="4" t="str">
        <f aca="false">IF(C96="","",IF(B96="","ISS",IFERROR(INDEX(Projects!$B$6:$B$20,MATCH(B96,Projects!$A$6:$A$20,0)),"ISS"))&amp;"-"&amp;TEXT(COUNTIF($B$6:B96,B96),"000"))</f>
        <v/>
      </c>
      <c r="B96" s="5"/>
      <c r="C96" s="6"/>
      <c r="D96" s="6"/>
      <c r="E96" s="7"/>
      <c r="F96" s="5"/>
      <c r="G96" s="5"/>
      <c r="H96" s="5"/>
      <c r="I96" s="5"/>
      <c r="J96" s="5"/>
      <c r="K96" s="6"/>
      <c r="L96" s="6"/>
      <c r="M96" s="6"/>
      <c r="N96" s="7"/>
      <c r="O96" s="6"/>
      <c r="P96" s="7"/>
      <c r="Q96" s="7"/>
      <c r="R96" s="8"/>
      <c r="S96" s="8"/>
      <c r="T96" s="8"/>
      <c r="U96" s="9" t="str">
        <f aca="true">IF(R96="","",IF(T96&lt;&gt;"",T96-R96,TODAY()-R96))</f>
        <v/>
      </c>
      <c r="V96" s="7"/>
      <c r="W96" s="6"/>
    </row>
    <row r="97" customFormat="false" ht="15" hidden="false" customHeight="false" outlineLevel="0" collapsed="false">
      <c r="A97" s="4" t="str">
        <f aca="false">IF(C97="","",IF(B97="","ISS",IFERROR(INDEX(Projects!$B$6:$B$20,MATCH(B97,Projects!$A$6:$A$20,0)),"ISS"))&amp;"-"&amp;TEXT(COUNTIF($B$6:B97,B97),"000"))</f>
        <v/>
      </c>
      <c r="B97" s="5"/>
      <c r="C97" s="6"/>
      <c r="D97" s="6"/>
      <c r="E97" s="7"/>
      <c r="F97" s="5"/>
      <c r="G97" s="5"/>
      <c r="H97" s="5"/>
      <c r="I97" s="5"/>
      <c r="J97" s="5"/>
      <c r="K97" s="6"/>
      <c r="L97" s="6"/>
      <c r="M97" s="6"/>
      <c r="N97" s="7"/>
      <c r="O97" s="6"/>
      <c r="P97" s="7"/>
      <c r="Q97" s="7"/>
      <c r="R97" s="8"/>
      <c r="S97" s="8"/>
      <c r="T97" s="8"/>
      <c r="U97" s="9" t="str">
        <f aca="true">IF(R97="","",IF(T97&lt;&gt;"",T97-R97,TODAY()-R97))</f>
        <v/>
      </c>
      <c r="V97" s="7"/>
      <c r="W97" s="6"/>
    </row>
    <row r="98" customFormat="false" ht="15" hidden="false" customHeight="false" outlineLevel="0" collapsed="false">
      <c r="A98" s="4" t="str">
        <f aca="false">IF(C98="","",IF(B98="","ISS",IFERROR(INDEX(Projects!$B$6:$B$20,MATCH(B98,Projects!$A$6:$A$20,0)),"ISS"))&amp;"-"&amp;TEXT(COUNTIF($B$6:B98,B98),"000"))</f>
        <v/>
      </c>
      <c r="B98" s="5"/>
      <c r="C98" s="6"/>
      <c r="D98" s="6"/>
      <c r="E98" s="7"/>
      <c r="F98" s="5"/>
      <c r="G98" s="5"/>
      <c r="H98" s="5"/>
      <c r="I98" s="5"/>
      <c r="J98" s="5"/>
      <c r="K98" s="6"/>
      <c r="L98" s="6"/>
      <c r="M98" s="6"/>
      <c r="N98" s="7"/>
      <c r="O98" s="6"/>
      <c r="P98" s="7"/>
      <c r="Q98" s="7"/>
      <c r="R98" s="8"/>
      <c r="S98" s="8"/>
      <c r="T98" s="8"/>
      <c r="U98" s="9" t="str">
        <f aca="true">IF(R98="","",IF(T98&lt;&gt;"",T98-R98,TODAY()-R98))</f>
        <v/>
      </c>
      <c r="V98" s="7"/>
      <c r="W98" s="6"/>
    </row>
    <row r="99" customFormat="false" ht="15" hidden="false" customHeight="false" outlineLevel="0" collapsed="false">
      <c r="A99" s="4" t="str">
        <f aca="false">IF(C99="","",IF(B99="","ISS",IFERROR(INDEX(Projects!$B$6:$B$20,MATCH(B99,Projects!$A$6:$A$20,0)),"ISS"))&amp;"-"&amp;TEXT(COUNTIF($B$6:B99,B99),"000"))</f>
        <v/>
      </c>
      <c r="B99" s="5"/>
      <c r="C99" s="6"/>
      <c r="D99" s="6"/>
      <c r="E99" s="7"/>
      <c r="F99" s="5"/>
      <c r="G99" s="5"/>
      <c r="H99" s="5"/>
      <c r="I99" s="5"/>
      <c r="J99" s="5"/>
      <c r="K99" s="6"/>
      <c r="L99" s="6"/>
      <c r="M99" s="6"/>
      <c r="N99" s="7"/>
      <c r="O99" s="6"/>
      <c r="P99" s="7"/>
      <c r="Q99" s="7"/>
      <c r="R99" s="8"/>
      <c r="S99" s="8"/>
      <c r="T99" s="8"/>
      <c r="U99" s="9" t="str">
        <f aca="true">IF(R99="","",IF(T99&lt;&gt;"",T99-R99,TODAY()-R99))</f>
        <v/>
      </c>
      <c r="V99" s="7"/>
      <c r="W99" s="6"/>
    </row>
    <row r="100" customFormat="false" ht="15" hidden="false" customHeight="false" outlineLevel="0" collapsed="false">
      <c r="A100" s="4" t="str">
        <f aca="false">IF(C100="","",IF(B100="","ISS",IFERROR(INDEX(Projects!$B$6:$B$20,MATCH(B100,Projects!$A$6:$A$20,0)),"ISS"))&amp;"-"&amp;TEXT(COUNTIF($B$6:B100,B100),"000"))</f>
        <v/>
      </c>
      <c r="B100" s="5"/>
      <c r="C100" s="6"/>
      <c r="D100" s="6"/>
      <c r="E100" s="7"/>
      <c r="F100" s="5"/>
      <c r="G100" s="5"/>
      <c r="H100" s="5"/>
      <c r="I100" s="5"/>
      <c r="J100" s="5"/>
      <c r="K100" s="6"/>
      <c r="L100" s="6"/>
      <c r="M100" s="6"/>
      <c r="N100" s="7"/>
      <c r="O100" s="6"/>
      <c r="P100" s="7"/>
      <c r="Q100" s="7"/>
      <c r="R100" s="8"/>
      <c r="S100" s="8"/>
      <c r="T100" s="8"/>
      <c r="U100" s="9" t="str">
        <f aca="true">IF(R100="","",IF(T100&lt;&gt;"",T100-R100,TODAY()-R100))</f>
        <v/>
      </c>
      <c r="V100" s="7"/>
      <c r="W100" s="6"/>
    </row>
    <row r="101" customFormat="false" ht="15" hidden="false" customHeight="false" outlineLevel="0" collapsed="false">
      <c r="A101" s="4" t="str">
        <f aca="false">IF(C101="","",IF(B101="","ISS",IFERROR(INDEX(Projects!$B$6:$B$20,MATCH(B101,Projects!$A$6:$A$20,0)),"ISS"))&amp;"-"&amp;TEXT(COUNTIF($B$6:B101,B101),"000"))</f>
        <v/>
      </c>
      <c r="B101" s="5"/>
      <c r="C101" s="6"/>
      <c r="D101" s="6"/>
      <c r="E101" s="7"/>
      <c r="F101" s="5"/>
      <c r="G101" s="5"/>
      <c r="H101" s="5"/>
      <c r="I101" s="5"/>
      <c r="J101" s="5"/>
      <c r="K101" s="6"/>
      <c r="L101" s="6"/>
      <c r="M101" s="6"/>
      <c r="N101" s="7"/>
      <c r="O101" s="6"/>
      <c r="P101" s="7"/>
      <c r="Q101" s="7"/>
      <c r="R101" s="8"/>
      <c r="S101" s="8"/>
      <c r="T101" s="8"/>
      <c r="U101" s="9" t="str">
        <f aca="true">IF(R101="","",IF(T101&lt;&gt;"",T101-R101,TODAY()-R101))</f>
        <v/>
      </c>
      <c r="V101" s="7"/>
      <c r="W101" s="6"/>
    </row>
    <row r="102" customFormat="false" ht="15" hidden="false" customHeight="false" outlineLevel="0" collapsed="false">
      <c r="A102" s="4" t="str">
        <f aca="false">IF(C102="","",IF(B102="","ISS",IFERROR(INDEX(Projects!$B$6:$B$20,MATCH(B102,Projects!$A$6:$A$20,0)),"ISS"))&amp;"-"&amp;TEXT(COUNTIF($B$6:B102,B102),"000"))</f>
        <v/>
      </c>
      <c r="B102" s="5"/>
      <c r="C102" s="6"/>
      <c r="D102" s="6"/>
      <c r="E102" s="7"/>
      <c r="F102" s="5"/>
      <c r="G102" s="5"/>
      <c r="H102" s="5"/>
      <c r="I102" s="5"/>
      <c r="J102" s="5"/>
      <c r="K102" s="6"/>
      <c r="L102" s="6"/>
      <c r="M102" s="6"/>
      <c r="N102" s="7"/>
      <c r="O102" s="6"/>
      <c r="P102" s="7"/>
      <c r="Q102" s="7"/>
      <c r="R102" s="8"/>
      <c r="S102" s="8"/>
      <c r="T102" s="8"/>
      <c r="U102" s="9" t="str">
        <f aca="true">IF(R102="","",IF(T102&lt;&gt;"",T102-R102,TODAY()-R102))</f>
        <v/>
      </c>
      <c r="V102" s="7"/>
      <c r="W102" s="6"/>
    </row>
    <row r="103" customFormat="false" ht="15" hidden="false" customHeight="false" outlineLevel="0" collapsed="false">
      <c r="A103" s="4" t="str">
        <f aca="false">IF(C103="","",IF(B103="","ISS",IFERROR(INDEX(Projects!$B$6:$B$20,MATCH(B103,Projects!$A$6:$A$20,0)),"ISS"))&amp;"-"&amp;TEXT(COUNTIF($B$6:B103,B103),"000"))</f>
        <v/>
      </c>
      <c r="B103" s="5"/>
      <c r="C103" s="6"/>
      <c r="D103" s="6"/>
      <c r="E103" s="7"/>
      <c r="F103" s="5"/>
      <c r="G103" s="5"/>
      <c r="H103" s="5"/>
      <c r="I103" s="5"/>
      <c r="J103" s="5"/>
      <c r="K103" s="6"/>
      <c r="L103" s="6"/>
      <c r="M103" s="6"/>
      <c r="N103" s="7"/>
      <c r="O103" s="6"/>
      <c r="P103" s="7"/>
      <c r="Q103" s="7"/>
      <c r="R103" s="8"/>
      <c r="S103" s="8"/>
      <c r="T103" s="8"/>
      <c r="U103" s="9" t="str">
        <f aca="true">IF(R103="","",IF(T103&lt;&gt;"",T103-R103,TODAY()-R103))</f>
        <v/>
      </c>
      <c r="V103" s="7"/>
      <c r="W103" s="6"/>
    </row>
    <row r="104" customFormat="false" ht="15" hidden="false" customHeight="false" outlineLevel="0" collapsed="false">
      <c r="A104" s="4" t="str">
        <f aca="false">IF(C104="","",IF(B104="","ISS",IFERROR(INDEX(Projects!$B$6:$B$20,MATCH(B104,Projects!$A$6:$A$20,0)),"ISS"))&amp;"-"&amp;TEXT(COUNTIF($B$6:B104,B104),"000"))</f>
        <v/>
      </c>
      <c r="B104" s="5"/>
      <c r="C104" s="6"/>
      <c r="D104" s="6"/>
      <c r="E104" s="7"/>
      <c r="F104" s="5"/>
      <c r="G104" s="5"/>
      <c r="H104" s="5"/>
      <c r="I104" s="5"/>
      <c r="J104" s="5"/>
      <c r="K104" s="6"/>
      <c r="L104" s="6"/>
      <c r="M104" s="6"/>
      <c r="N104" s="7"/>
      <c r="O104" s="6"/>
      <c r="P104" s="7"/>
      <c r="Q104" s="7"/>
      <c r="R104" s="8"/>
      <c r="S104" s="8"/>
      <c r="T104" s="8"/>
      <c r="U104" s="9" t="str">
        <f aca="true">IF(R104="","",IF(T104&lt;&gt;"",T104-R104,TODAY()-R104))</f>
        <v/>
      </c>
      <c r="V104" s="7"/>
      <c r="W104" s="6"/>
    </row>
    <row r="105" customFormat="false" ht="15" hidden="false" customHeight="false" outlineLevel="0" collapsed="false">
      <c r="A105" s="4" t="str">
        <f aca="false">IF(C105="","",IF(B105="","ISS",IFERROR(INDEX(Projects!$B$6:$B$20,MATCH(B105,Projects!$A$6:$A$20,0)),"ISS"))&amp;"-"&amp;TEXT(COUNTIF($B$6:B105,B105),"000"))</f>
        <v/>
      </c>
      <c r="B105" s="5"/>
      <c r="C105" s="6"/>
      <c r="D105" s="6"/>
      <c r="E105" s="7"/>
      <c r="F105" s="5"/>
      <c r="G105" s="5"/>
      <c r="H105" s="5"/>
      <c r="I105" s="5"/>
      <c r="J105" s="5"/>
      <c r="K105" s="6"/>
      <c r="L105" s="6"/>
      <c r="M105" s="6"/>
      <c r="N105" s="7"/>
      <c r="O105" s="6"/>
      <c r="P105" s="7"/>
      <c r="Q105" s="7"/>
      <c r="R105" s="8"/>
      <c r="S105" s="8"/>
      <c r="T105" s="8"/>
      <c r="U105" s="9" t="str">
        <f aca="true">IF(R105="","",IF(T105&lt;&gt;"",T105-R105,TODAY()-R105))</f>
        <v/>
      </c>
      <c r="V105" s="7"/>
      <c r="W105" s="6"/>
    </row>
    <row r="106" customFormat="false" ht="15" hidden="false" customHeight="false" outlineLevel="0" collapsed="false">
      <c r="A106" s="4" t="str">
        <f aca="false">IF(C106="","",IF(B106="","ISS",IFERROR(INDEX(Projects!$B$6:$B$20,MATCH(B106,Projects!$A$6:$A$20,0)),"ISS"))&amp;"-"&amp;TEXT(COUNTIF($B$6:B106,B106),"000"))</f>
        <v/>
      </c>
      <c r="B106" s="5"/>
      <c r="C106" s="6"/>
      <c r="D106" s="6"/>
      <c r="E106" s="7"/>
      <c r="F106" s="5"/>
      <c r="G106" s="5"/>
      <c r="H106" s="5"/>
      <c r="I106" s="5"/>
      <c r="J106" s="5"/>
      <c r="K106" s="6"/>
      <c r="L106" s="6"/>
      <c r="M106" s="6"/>
      <c r="N106" s="7"/>
      <c r="O106" s="6"/>
      <c r="P106" s="7"/>
      <c r="Q106" s="7"/>
      <c r="R106" s="8"/>
      <c r="S106" s="8"/>
      <c r="T106" s="8"/>
      <c r="U106" s="9" t="str">
        <f aca="true">IF(R106="","",IF(T106&lt;&gt;"",T106-R106,TODAY()-R106))</f>
        <v/>
      </c>
      <c r="V106" s="7"/>
      <c r="W106" s="6"/>
    </row>
    <row r="107" customFormat="false" ht="15" hidden="false" customHeight="false" outlineLevel="0" collapsed="false">
      <c r="A107" s="4" t="str">
        <f aca="false">IF(C107="","",IF(B107="","ISS",IFERROR(INDEX(Projects!$B$6:$B$20,MATCH(B107,Projects!$A$6:$A$20,0)),"ISS"))&amp;"-"&amp;TEXT(COUNTIF($B$6:B107,B107),"000"))</f>
        <v/>
      </c>
      <c r="B107" s="5"/>
      <c r="C107" s="6"/>
      <c r="D107" s="6"/>
      <c r="E107" s="7"/>
      <c r="F107" s="5"/>
      <c r="G107" s="5"/>
      <c r="H107" s="5"/>
      <c r="I107" s="5"/>
      <c r="J107" s="5"/>
      <c r="K107" s="6"/>
      <c r="L107" s="6"/>
      <c r="M107" s="6"/>
      <c r="N107" s="7"/>
      <c r="O107" s="6"/>
      <c r="P107" s="7"/>
      <c r="Q107" s="7"/>
      <c r="R107" s="8"/>
      <c r="S107" s="8"/>
      <c r="T107" s="8"/>
      <c r="U107" s="9" t="str">
        <f aca="true">IF(R107="","",IF(T107&lt;&gt;"",T107-R107,TODAY()-R107))</f>
        <v/>
      </c>
      <c r="V107" s="7"/>
      <c r="W107" s="6"/>
    </row>
    <row r="108" customFormat="false" ht="15" hidden="false" customHeight="false" outlineLevel="0" collapsed="false">
      <c r="A108" s="4" t="str">
        <f aca="false">IF(C108="","",IF(B108="","ISS",IFERROR(INDEX(Projects!$B$6:$B$20,MATCH(B108,Projects!$A$6:$A$20,0)),"ISS"))&amp;"-"&amp;TEXT(COUNTIF($B$6:B108,B108),"000"))</f>
        <v/>
      </c>
      <c r="B108" s="5"/>
      <c r="C108" s="6"/>
      <c r="D108" s="6"/>
      <c r="E108" s="7"/>
      <c r="F108" s="5"/>
      <c r="G108" s="5"/>
      <c r="H108" s="5"/>
      <c r="I108" s="5"/>
      <c r="J108" s="5"/>
      <c r="K108" s="6"/>
      <c r="L108" s="6"/>
      <c r="M108" s="6"/>
      <c r="N108" s="7"/>
      <c r="O108" s="6"/>
      <c r="P108" s="7"/>
      <c r="Q108" s="7"/>
      <c r="R108" s="8"/>
      <c r="S108" s="8"/>
      <c r="T108" s="8"/>
      <c r="U108" s="9" t="str">
        <f aca="true">IF(R108="","",IF(T108&lt;&gt;"",T108-R108,TODAY()-R108))</f>
        <v/>
      </c>
      <c r="V108" s="7"/>
      <c r="W108" s="6"/>
    </row>
    <row r="109" customFormat="false" ht="15" hidden="false" customHeight="false" outlineLevel="0" collapsed="false">
      <c r="A109" s="4" t="str">
        <f aca="false">IF(C109="","",IF(B109="","ISS",IFERROR(INDEX(Projects!$B$6:$B$20,MATCH(B109,Projects!$A$6:$A$20,0)),"ISS"))&amp;"-"&amp;TEXT(COUNTIF($B$6:B109,B109),"000"))</f>
        <v/>
      </c>
      <c r="B109" s="5"/>
      <c r="C109" s="6"/>
      <c r="D109" s="6"/>
      <c r="E109" s="7"/>
      <c r="F109" s="5"/>
      <c r="G109" s="5"/>
      <c r="H109" s="5"/>
      <c r="I109" s="5"/>
      <c r="J109" s="5"/>
      <c r="K109" s="6"/>
      <c r="L109" s="6"/>
      <c r="M109" s="6"/>
      <c r="N109" s="7"/>
      <c r="O109" s="6"/>
      <c r="P109" s="7"/>
      <c r="Q109" s="7"/>
      <c r="R109" s="8"/>
      <c r="S109" s="8"/>
      <c r="T109" s="8"/>
      <c r="U109" s="9" t="str">
        <f aca="true">IF(R109="","",IF(T109&lt;&gt;"",T109-R109,TODAY()-R109))</f>
        <v/>
      </c>
      <c r="V109" s="7"/>
      <c r="W109" s="6"/>
    </row>
    <row r="110" customFormat="false" ht="15" hidden="false" customHeight="false" outlineLevel="0" collapsed="false">
      <c r="A110" s="4" t="str">
        <f aca="false">IF(C110="","",IF(B110="","ISS",IFERROR(INDEX(Projects!$B$6:$B$20,MATCH(B110,Projects!$A$6:$A$20,0)),"ISS"))&amp;"-"&amp;TEXT(COUNTIF($B$6:B110,B110),"000"))</f>
        <v/>
      </c>
      <c r="B110" s="5"/>
      <c r="C110" s="6"/>
      <c r="D110" s="6"/>
      <c r="E110" s="7"/>
      <c r="F110" s="5"/>
      <c r="G110" s="5"/>
      <c r="H110" s="5"/>
      <c r="I110" s="5"/>
      <c r="J110" s="5"/>
      <c r="K110" s="6"/>
      <c r="L110" s="6"/>
      <c r="M110" s="6"/>
      <c r="N110" s="7"/>
      <c r="O110" s="6"/>
      <c r="P110" s="7"/>
      <c r="Q110" s="7"/>
      <c r="R110" s="8"/>
      <c r="S110" s="8"/>
      <c r="T110" s="8"/>
      <c r="U110" s="9" t="str">
        <f aca="true">IF(R110="","",IF(T110&lt;&gt;"",T110-R110,TODAY()-R110))</f>
        <v/>
      </c>
      <c r="V110" s="7"/>
      <c r="W110" s="6"/>
    </row>
    <row r="111" customFormat="false" ht="15" hidden="false" customHeight="false" outlineLevel="0" collapsed="false">
      <c r="A111" s="4" t="str">
        <f aca="false">IF(C111="","",IF(B111="","ISS",IFERROR(INDEX(Projects!$B$6:$B$20,MATCH(B111,Projects!$A$6:$A$20,0)),"ISS"))&amp;"-"&amp;TEXT(COUNTIF($B$6:B111,B111),"000"))</f>
        <v/>
      </c>
      <c r="B111" s="5"/>
      <c r="C111" s="6"/>
      <c r="D111" s="6"/>
      <c r="E111" s="7"/>
      <c r="F111" s="5"/>
      <c r="G111" s="5"/>
      <c r="H111" s="5"/>
      <c r="I111" s="5"/>
      <c r="J111" s="5"/>
      <c r="K111" s="6"/>
      <c r="L111" s="6"/>
      <c r="M111" s="6"/>
      <c r="N111" s="7"/>
      <c r="O111" s="6"/>
      <c r="P111" s="7"/>
      <c r="Q111" s="7"/>
      <c r="R111" s="8"/>
      <c r="S111" s="8"/>
      <c r="T111" s="8"/>
      <c r="U111" s="9" t="str">
        <f aca="true">IF(R111="","",IF(T111&lt;&gt;"",T111-R111,TODAY()-R111))</f>
        <v/>
      </c>
      <c r="V111" s="7"/>
      <c r="W111" s="6"/>
    </row>
    <row r="112" customFormat="false" ht="15" hidden="false" customHeight="false" outlineLevel="0" collapsed="false">
      <c r="A112" s="4" t="str">
        <f aca="false">IF(C112="","",IF(B112="","ISS",IFERROR(INDEX(Projects!$B$6:$B$20,MATCH(B112,Projects!$A$6:$A$20,0)),"ISS"))&amp;"-"&amp;TEXT(COUNTIF($B$6:B112,B112),"000"))</f>
        <v/>
      </c>
      <c r="B112" s="5"/>
      <c r="C112" s="6"/>
      <c r="D112" s="6"/>
      <c r="E112" s="7"/>
      <c r="F112" s="5"/>
      <c r="G112" s="5"/>
      <c r="H112" s="5"/>
      <c r="I112" s="5"/>
      <c r="J112" s="5"/>
      <c r="K112" s="6"/>
      <c r="L112" s="6"/>
      <c r="M112" s="6"/>
      <c r="N112" s="7"/>
      <c r="O112" s="6"/>
      <c r="P112" s="7"/>
      <c r="Q112" s="7"/>
      <c r="R112" s="8"/>
      <c r="S112" s="8"/>
      <c r="T112" s="8"/>
      <c r="U112" s="9" t="str">
        <f aca="true">IF(R112="","",IF(T112&lt;&gt;"",T112-R112,TODAY()-R112))</f>
        <v/>
      </c>
      <c r="V112" s="7"/>
      <c r="W112" s="6"/>
    </row>
    <row r="113" customFormat="false" ht="15" hidden="false" customHeight="false" outlineLevel="0" collapsed="false">
      <c r="A113" s="4" t="str">
        <f aca="false">IF(C113="","",IF(B113="","ISS",IFERROR(INDEX(Projects!$B$6:$B$20,MATCH(B113,Projects!$A$6:$A$20,0)),"ISS"))&amp;"-"&amp;TEXT(COUNTIF($B$6:B113,B113),"000"))</f>
        <v/>
      </c>
      <c r="B113" s="5"/>
      <c r="C113" s="6"/>
      <c r="D113" s="6"/>
      <c r="E113" s="7"/>
      <c r="F113" s="5"/>
      <c r="G113" s="5"/>
      <c r="H113" s="5"/>
      <c r="I113" s="5"/>
      <c r="J113" s="5"/>
      <c r="K113" s="6"/>
      <c r="L113" s="6"/>
      <c r="M113" s="6"/>
      <c r="N113" s="7"/>
      <c r="O113" s="6"/>
      <c r="P113" s="7"/>
      <c r="Q113" s="7"/>
      <c r="R113" s="8"/>
      <c r="S113" s="8"/>
      <c r="T113" s="8"/>
      <c r="U113" s="9" t="str">
        <f aca="true">IF(R113="","",IF(T113&lt;&gt;"",T113-R113,TODAY()-R113))</f>
        <v/>
      </c>
      <c r="V113" s="7"/>
      <c r="W113" s="6"/>
    </row>
    <row r="114" customFormat="false" ht="15" hidden="false" customHeight="false" outlineLevel="0" collapsed="false">
      <c r="A114" s="4" t="str">
        <f aca="false">IF(C114="","",IF(B114="","ISS",IFERROR(INDEX(Projects!$B$6:$B$20,MATCH(B114,Projects!$A$6:$A$20,0)),"ISS"))&amp;"-"&amp;TEXT(COUNTIF($B$6:B114,B114),"000"))</f>
        <v/>
      </c>
      <c r="B114" s="5"/>
      <c r="C114" s="6"/>
      <c r="D114" s="6"/>
      <c r="E114" s="7"/>
      <c r="F114" s="5"/>
      <c r="G114" s="5"/>
      <c r="H114" s="5"/>
      <c r="I114" s="5"/>
      <c r="J114" s="5"/>
      <c r="K114" s="6"/>
      <c r="L114" s="6"/>
      <c r="M114" s="6"/>
      <c r="N114" s="7"/>
      <c r="O114" s="6"/>
      <c r="P114" s="7"/>
      <c r="Q114" s="7"/>
      <c r="R114" s="8"/>
      <c r="S114" s="8"/>
      <c r="T114" s="8"/>
      <c r="U114" s="9" t="str">
        <f aca="true">IF(R114="","",IF(T114&lt;&gt;"",T114-R114,TODAY()-R114))</f>
        <v/>
      </c>
      <c r="V114" s="7"/>
      <c r="W114" s="6"/>
    </row>
    <row r="115" customFormat="false" ht="15" hidden="false" customHeight="false" outlineLevel="0" collapsed="false">
      <c r="A115" s="4" t="str">
        <f aca="false">IF(C115="","",IF(B115="","ISS",IFERROR(INDEX(Projects!$B$6:$B$20,MATCH(B115,Projects!$A$6:$A$20,0)),"ISS"))&amp;"-"&amp;TEXT(COUNTIF($B$6:B115,B115),"000"))</f>
        <v/>
      </c>
      <c r="B115" s="5"/>
      <c r="C115" s="6"/>
      <c r="D115" s="6"/>
      <c r="E115" s="7"/>
      <c r="F115" s="5"/>
      <c r="G115" s="5"/>
      <c r="H115" s="5"/>
      <c r="I115" s="5"/>
      <c r="J115" s="5"/>
      <c r="K115" s="6"/>
      <c r="L115" s="6"/>
      <c r="M115" s="6"/>
      <c r="N115" s="7"/>
      <c r="O115" s="6"/>
      <c r="P115" s="7"/>
      <c r="Q115" s="7"/>
      <c r="R115" s="8"/>
      <c r="S115" s="8"/>
      <c r="T115" s="8"/>
      <c r="U115" s="9" t="str">
        <f aca="true">IF(R115="","",IF(T115&lt;&gt;"",T115-R115,TODAY()-R115))</f>
        <v/>
      </c>
      <c r="V115" s="7"/>
      <c r="W115" s="6"/>
    </row>
    <row r="116" customFormat="false" ht="15" hidden="false" customHeight="false" outlineLevel="0" collapsed="false">
      <c r="A116" s="4" t="str">
        <f aca="false">IF(C116="","",IF(B116="","ISS",IFERROR(INDEX(Projects!$B$6:$B$20,MATCH(B116,Projects!$A$6:$A$20,0)),"ISS"))&amp;"-"&amp;TEXT(COUNTIF($B$6:B116,B116),"000"))</f>
        <v/>
      </c>
      <c r="B116" s="5"/>
      <c r="C116" s="6"/>
      <c r="D116" s="6"/>
      <c r="E116" s="7"/>
      <c r="F116" s="5"/>
      <c r="G116" s="5"/>
      <c r="H116" s="5"/>
      <c r="I116" s="5"/>
      <c r="J116" s="5"/>
      <c r="K116" s="6"/>
      <c r="L116" s="6"/>
      <c r="M116" s="6"/>
      <c r="N116" s="7"/>
      <c r="O116" s="6"/>
      <c r="P116" s="7"/>
      <c r="Q116" s="7"/>
      <c r="R116" s="8"/>
      <c r="S116" s="8"/>
      <c r="T116" s="8"/>
      <c r="U116" s="9" t="str">
        <f aca="true">IF(R116="","",IF(T116&lt;&gt;"",T116-R116,TODAY()-R116))</f>
        <v/>
      </c>
      <c r="V116" s="7"/>
      <c r="W116" s="6"/>
    </row>
    <row r="117" customFormat="false" ht="15" hidden="false" customHeight="false" outlineLevel="0" collapsed="false">
      <c r="A117" s="4" t="str">
        <f aca="false">IF(C117="","",IF(B117="","ISS",IFERROR(INDEX(Projects!$B$6:$B$20,MATCH(B117,Projects!$A$6:$A$20,0)),"ISS"))&amp;"-"&amp;TEXT(COUNTIF($B$6:B117,B117),"000"))</f>
        <v/>
      </c>
      <c r="B117" s="5"/>
      <c r="C117" s="6"/>
      <c r="D117" s="6"/>
      <c r="E117" s="7"/>
      <c r="F117" s="5"/>
      <c r="G117" s="5"/>
      <c r="H117" s="5"/>
      <c r="I117" s="5"/>
      <c r="J117" s="5"/>
      <c r="K117" s="6"/>
      <c r="L117" s="6"/>
      <c r="M117" s="6"/>
      <c r="N117" s="7"/>
      <c r="O117" s="6"/>
      <c r="P117" s="7"/>
      <c r="Q117" s="7"/>
      <c r="R117" s="8"/>
      <c r="S117" s="8"/>
      <c r="T117" s="8"/>
      <c r="U117" s="9" t="str">
        <f aca="true">IF(R117="","",IF(T117&lt;&gt;"",T117-R117,TODAY()-R117))</f>
        <v/>
      </c>
      <c r="V117" s="7"/>
      <c r="W117" s="6"/>
    </row>
    <row r="118" customFormat="false" ht="15" hidden="false" customHeight="false" outlineLevel="0" collapsed="false">
      <c r="A118" s="4" t="str">
        <f aca="false">IF(C118="","",IF(B118="","ISS",IFERROR(INDEX(Projects!$B$6:$B$20,MATCH(B118,Projects!$A$6:$A$20,0)),"ISS"))&amp;"-"&amp;TEXT(COUNTIF($B$6:B118,B118),"000"))</f>
        <v/>
      </c>
      <c r="B118" s="5"/>
      <c r="C118" s="6"/>
      <c r="D118" s="6"/>
      <c r="E118" s="7"/>
      <c r="F118" s="5"/>
      <c r="G118" s="5"/>
      <c r="H118" s="5"/>
      <c r="I118" s="5"/>
      <c r="J118" s="5"/>
      <c r="K118" s="6"/>
      <c r="L118" s="6"/>
      <c r="M118" s="6"/>
      <c r="N118" s="7"/>
      <c r="O118" s="6"/>
      <c r="P118" s="7"/>
      <c r="Q118" s="7"/>
      <c r="R118" s="8"/>
      <c r="S118" s="8"/>
      <c r="T118" s="8"/>
      <c r="U118" s="9" t="str">
        <f aca="true">IF(R118="","",IF(T118&lt;&gt;"",T118-R118,TODAY()-R118))</f>
        <v/>
      </c>
      <c r="V118" s="7"/>
      <c r="W118" s="6"/>
    </row>
    <row r="119" customFormat="false" ht="15" hidden="false" customHeight="false" outlineLevel="0" collapsed="false">
      <c r="A119" s="4" t="str">
        <f aca="false">IF(C119="","",IF(B119="","ISS",IFERROR(INDEX(Projects!$B$6:$B$20,MATCH(B119,Projects!$A$6:$A$20,0)),"ISS"))&amp;"-"&amp;TEXT(COUNTIF($B$6:B119,B119),"000"))</f>
        <v/>
      </c>
      <c r="B119" s="5"/>
      <c r="C119" s="6"/>
      <c r="D119" s="6"/>
      <c r="E119" s="7"/>
      <c r="F119" s="5"/>
      <c r="G119" s="5"/>
      <c r="H119" s="5"/>
      <c r="I119" s="5"/>
      <c r="J119" s="5"/>
      <c r="K119" s="6"/>
      <c r="L119" s="6"/>
      <c r="M119" s="6"/>
      <c r="N119" s="7"/>
      <c r="O119" s="6"/>
      <c r="P119" s="7"/>
      <c r="Q119" s="7"/>
      <c r="R119" s="8"/>
      <c r="S119" s="8"/>
      <c r="T119" s="8"/>
      <c r="U119" s="9" t="str">
        <f aca="true">IF(R119="","",IF(T119&lt;&gt;"",T119-R119,TODAY()-R119))</f>
        <v/>
      </c>
      <c r="V119" s="7"/>
      <c r="W119" s="6"/>
    </row>
    <row r="120" customFormat="false" ht="15" hidden="false" customHeight="false" outlineLevel="0" collapsed="false">
      <c r="A120" s="4" t="str">
        <f aca="false">IF(C120="","",IF(B120="","ISS",IFERROR(INDEX(Projects!$B$6:$B$20,MATCH(B120,Projects!$A$6:$A$20,0)),"ISS"))&amp;"-"&amp;TEXT(COUNTIF($B$6:B120,B120),"000"))</f>
        <v/>
      </c>
      <c r="B120" s="5"/>
      <c r="C120" s="6"/>
      <c r="D120" s="6"/>
      <c r="E120" s="7"/>
      <c r="F120" s="5"/>
      <c r="G120" s="5"/>
      <c r="H120" s="5"/>
      <c r="I120" s="5"/>
      <c r="J120" s="5"/>
      <c r="K120" s="6"/>
      <c r="L120" s="6"/>
      <c r="M120" s="6"/>
      <c r="N120" s="7"/>
      <c r="O120" s="6"/>
      <c r="P120" s="7"/>
      <c r="Q120" s="7"/>
      <c r="R120" s="8"/>
      <c r="S120" s="8"/>
      <c r="T120" s="8"/>
      <c r="U120" s="9" t="str">
        <f aca="true">IF(R120="","",IF(T120&lt;&gt;"",T120-R120,TODAY()-R120))</f>
        <v/>
      </c>
      <c r="V120" s="7"/>
      <c r="W120" s="6"/>
    </row>
    <row r="121" customFormat="false" ht="15" hidden="false" customHeight="false" outlineLevel="0" collapsed="false">
      <c r="A121" s="4" t="str">
        <f aca="false">IF(C121="","",IF(B121="","ISS",IFERROR(INDEX(Projects!$B$6:$B$20,MATCH(B121,Projects!$A$6:$A$20,0)),"ISS"))&amp;"-"&amp;TEXT(COUNTIF($B$6:B121,B121),"000"))</f>
        <v/>
      </c>
      <c r="B121" s="5"/>
      <c r="C121" s="6"/>
      <c r="D121" s="6"/>
      <c r="E121" s="7"/>
      <c r="F121" s="5"/>
      <c r="G121" s="5"/>
      <c r="H121" s="5"/>
      <c r="I121" s="5"/>
      <c r="J121" s="5"/>
      <c r="K121" s="6"/>
      <c r="L121" s="6"/>
      <c r="M121" s="6"/>
      <c r="N121" s="7"/>
      <c r="O121" s="6"/>
      <c r="P121" s="7"/>
      <c r="Q121" s="7"/>
      <c r="R121" s="8"/>
      <c r="S121" s="8"/>
      <c r="T121" s="8"/>
      <c r="U121" s="9" t="str">
        <f aca="true">IF(R121="","",IF(T121&lt;&gt;"",T121-R121,TODAY()-R121))</f>
        <v/>
      </c>
      <c r="V121" s="7"/>
      <c r="W121" s="6"/>
    </row>
    <row r="122" customFormat="false" ht="15" hidden="false" customHeight="false" outlineLevel="0" collapsed="false">
      <c r="A122" s="4" t="str">
        <f aca="false">IF(C122="","",IF(B122="","ISS",IFERROR(INDEX(Projects!$B$6:$B$20,MATCH(B122,Projects!$A$6:$A$20,0)),"ISS"))&amp;"-"&amp;TEXT(COUNTIF($B$6:B122,B122),"000"))</f>
        <v/>
      </c>
      <c r="B122" s="5"/>
      <c r="C122" s="6"/>
      <c r="D122" s="6"/>
      <c r="E122" s="7"/>
      <c r="F122" s="5"/>
      <c r="G122" s="5"/>
      <c r="H122" s="5"/>
      <c r="I122" s="5"/>
      <c r="J122" s="5"/>
      <c r="K122" s="6"/>
      <c r="L122" s="6"/>
      <c r="M122" s="6"/>
      <c r="N122" s="7"/>
      <c r="O122" s="6"/>
      <c r="P122" s="7"/>
      <c r="Q122" s="7"/>
      <c r="R122" s="8"/>
      <c r="S122" s="8"/>
      <c r="T122" s="8"/>
      <c r="U122" s="9" t="str">
        <f aca="true">IF(R122="","",IF(T122&lt;&gt;"",T122-R122,TODAY()-R122))</f>
        <v/>
      </c>
      <c r="V122" s="7"/>
      <c r="W122" s="6"/>
    </row>
    <row r="123" customFormat="false" ht="15" hidden="false" customHeight="false" outlineLevel="0" collapsed="false">
      <c r="A123" s="4" t="str">
        <f aca="false">IF(C123="","",IF(B123="","ISS",IFERROR(INDEX(Projects!$B$6:$B$20,MATCH(B123,Projects!$A$6:$A$20,0)),"ISS"))&amp;"-"&amp;TEXT(COUNTIF($B$6:B123,B123),"000"))</f>
        <v/>
      </c>
      <c r="B123" s="5"/>
      <c r="C123" s="6"/>
      <c r="D123" s="6"/>
      <c r="E123" s="7"/>
      <c r="F123" s="5"/>
      <c r="G123" s="5"/>
      <c r="H123" s="5"/>
      <c r="I123" s="5"/>
      <c r="J123" s="5"/>
      <c r="K123" s="6"/>
      <c r="L123" s="6"/>
      <c r="M123" s="6"/>
      <c r="N123" s="7"/>
      <c r="O123" s="6"/>
      <c r="P123" s="7"/>
      <c r="Q123" s="7"/>
      <c r="R123" s="8"/>
      <c r="S123" s="8"/>
      <c r="T123" s="8"/>
      <c r="U123" s="9" t="str">
        <f aca="true">IF(R123="","",IF(T123&lt;&gt;"",T123-R123,TODAY()-R123))</f>
        <v/>
      </c>
      <c r="V123" s="7"/>
      <c r="W123" s="6"/>
    </row>
    <row r="124" customFormat="false" ht="15" hidden="false" customHeight="false" outlineLevel="0" collapsed="false">
      <c r="A124" s="4" t="str">
        <f aca="false">IF(C124="","",IF(B124="","ISS",IFERROR(INDEX(Projects!$B$6:$B$20,MATCH(B124,Projects!$A$6:$A$20,0)),"ISS"))&amp;"-"&amp;TEXT(COUNTIF($B$6:B124,B124),"000"))</f>
        <v/>
      </c>
      <c r="B124" s="5"/>
      <c r="C124" s="6"/>
      <c r="D124" s="6"/>
      <c r="E124" s="7"/>
      <c r="F124" s="5"/>
      <c r="G124" s="5"/>
      <c r="H124" s="5"/>
      <c r="I124" s="5"/>
      <c r="J124" s="5"/>
      <c r="K124" s="6"/>
      <c r="L124" s="6"/>
      <c r="M124" s="6"/>
      <c r="N124" s="7"/>
      <c r="O124" s="6"/>
      <c r="P124" s="7"/>
      <c r="Q124" s="7"/>
      <c r="R124" s="8"/>
      <c r="S124" s="8"/>
      <c r="T124" s="8"/>
      <c r="U124" s="9" t="str">
        <f aca="true">IF(R124="","",IF(T124&lt;&gt;"",T124-R124,TODAY()-R124))</f>
        <v/>
      </c>
      <c r="V124" s="7"/>
      <c r="W124" s="6"/>
    </row>
    <row r="125" customFormat="false" ht="15" hidden="false" customHeight="false" outlineLevel="0" collapsed="false">
      <c r="A125" s="4" t="str">
        <f aca="false">IF(C125="","",IF(B125="","ISS",IFERROR(INDEX(Projects!$B$6:$B$20,MATCH(B125,Projects!$A$6:$A$20,0)),"ISS"))&amp;"-"&amp;TEXT(COUNTIF($B$6:B125,B125),"000"))</f>
        <v/>
      </c>
      <c r="B125" s="5"/>
      <c r="C125" s="6"/>
      <c r="D125" s="6"/>
      <c r="E125" s="7"/>
      <c r="F125" s="5"/>
      <c r="G125" s="5"/>
      <c r="H125" s="5"/>
      <c r="I125" s="5"/>
      <c r="J125" s="5"/>
      <c r="K125" s="6"/>
      <c r="L125" s="6"/>
      <c r="M125" s="6"/>
      <c r="N125" s="7"/>
      <c r="O125" s="6"/>
      <c r="P125" s="7"/>
      <c r="Q125" s="7"/>
      <c r="R125" s="8"/>
      <c r="S125" s="8"/>
      <c r="T125" s="8"/>
      <c r="U125" s="9" t="str">
        <f aca="true">IF(R125="","",IF(T125&lt;&gt;"",T125-R125,TODAY()-R125))</f>
        <v/>
      </c>
      <c r="V125" s="7"/>
      <c r="W125" s="6"/>
    </row>
    <row r="126" customFormat="false" ht="15" hidden="false" customHeight="false" outlineLevel="0" collapsed="false">
      <c r="A126" s="4" t="str">
        <f aca="false">IF(C126="","",IF(B126="","ISS",IFERROR(INDEX(Projects!$B$6:$B$20,MATCH(B126,Projects!$A$6:$A$20,0)),"ISS"))&amp;"-"&amp;TEXT(COUNTIF($B$6:B126,B126),"000"))</f>
        <v/>
      </c>
      <c r="B126" s="5"/>
      <c r="C126" s="6"/>
      <c r="D126" s="6"/>
      <c r="E126" s="7"/>
      <c r="F126" s="5"/>
      <c r="G126" s="5"/>
      <c r="H126" s="5"/>
      <c r="I126" s="5"/>
      <c r="J126" s="5"/>
      <c r="K126" s="6"/>
      <c r="L126" s="6"/>
      <c r="M126" s="6"/>
      <c r="N126" s="7"/>
      <c r="O126" s="6"/>
      <c r="P126" s="7"/>
      <c r="Q126" s="7"/>
      <c r="R126" s="8"/>
      <c r="S126" s="8"/>
      <c r="T126" s="8"/>
      <c r="U126" s="9" t="str">
        <f aca="true">IF(R126="","",IF(T126&lt;&gt;"",T126-R126,TODAY()-R126))</f>
        <v/>
      </c>
      <c r="V126" s="7"/>
      <c r="W126" s="6"/>
    </row>
    <row r="127" customFormat="false" ht="15" hidden="false" customHeight="false" outlineLevel="0" collapsed="false">
      <c r="A127" s="4" t="str">
        <f aca="false">IF(C127="","",IF(B127="","ISS",IFERROR(INDEX(Projects!$B$6:$B$20,MATCH(B127,Projects!$A$6:$A$20,0)),"ISS"))&amp;"-"&amp;TEXT(COUNTIF($B$6:B127,B127),"000"))</f>
        <v/>
      </c>
      <c r="B127" s="5"/>
      <c r="C127" s="6"/>
      <c r="D127" s="6"/>
      <c r="E127" s="7"/>
      <c r="F127" s="5"/>
      <c r="G127" s="5"/>
      <c r="H127" s="5"/>
      <c r="I127" s="5"/>
      <c r="J127" s="5"/>
      <c r="K127" s="6"/>
      <c r="L127" s="6"/>
      <c r="M127" s="6"/>
      <c r="N127" s="7"/>
      <c r="O127" s="6"/>
      <c r="P127" s="7"/>
      <c r="Q127" s="7"/>
      <c r="R127" s="8"/>
      <c r="S127" s="8"/>
      <c r="T127" s="8"/>
      <c r="U127" s="9" t="str">
        <f aca="true">IF(R127="","",IF(T127&lt;&gt;"",T127-R127,TODAY()-R127))</f>
        <v/>
      </c>
      <c r="V127" s="7"/>
      <c r="W127" s="6"/>
    </row>
    <row r="128" customFormat="false" ht="15" hidden="false" customHeight="false" outlineLevel="0" collapsed="false">
      <c r="A128" s="4" t="str">
        <f aca="false">IF(C128="","",IF(B128="","ISS",IFERROR(INDEX(Projects!$B$6:$B$20,MATCH(B128,Projects!$A$6:$A$20,0)),"ISS"))&amp;"-"&amp;TEXT(COUNTIF($B$6:B128,B128),"000"))</f>
        <v/>
      </c>
      <c r="B128" s="5"/>
      <c r="C128" s="6"/>
      <c r="D128" s="6"/>
      <c r="E128" s="7"/>
      <c r="F128" s="5"/>
      <c r="G128" s="5"/>
      <c r="H128" s="5"/>
      <c r="I128" s="5"/>
      <c r="J128" s="5"/>
      <c r="K128" s="6"/>
      <c r="L128" s="6"/>
      <c r="M128" s="6"/>
      <c r="N128" s="7"/>
      <c r="O128" s="6"/>
      <c r="P128" s="7"/>
      <c r="Q128" s="7"/>
      <c r="R128" s="8"/>
      <c r="S128" s="8"/>
      <c r="T128" s="8"/>
      <c r="U128" s="9" t="str">
        <f aca="true">IF(R128="","",IF(T128&lt;&gt;"",T128-R128,TODAY()-R128))</f>
        <v/>
      </c>
      <c r="V128" s="7"/>
      <c r="W128" s="6"/>
    </row>
    <row r="129" customFormat="false" ht="15" hidden="false" customHeight="false" outlineLevel="0" collapsed="false">
      <c r="A129" s="4" t="str">
        <f aca="false">IF(C129="","",IF(B129="","ISS",IFERROR(INDEX(Projects!$B$6:$B$20,MATCH(B129,Projects!$A$6:$A$20,0)),"ISS"))&amp;"-"&amp;TEXT(COUNTIF($B$6:B129,B129),"000"))</f>
        <v/>
      </c>
      <c r="B129" s="5"/>
      <c r="C129" s="6"/>
      <c r="D129" s="6"/>
      <c r="E129" s="7"/>
      <c r="F129" s="5"/>
      <c r="G129" s="5"/>
      <c r="H129" s="5"/>
      <c r="I129" s="5"/>
      <c r="J129" s="5"/>
      <c r="K129" s="6"/>
      <c r="L129" s="6"/>
      <c r="M129" s="6"/>
      <c r="N129" s="7"/>
      <c r="O129" s="6"/>
      <c r="P129" s="7"/>
      <c r="Q129" s="7"/>
      <c r="R129" s="8"/>
      <c r="S129" s="8"/>
      <c r="T129" s="8"/>
      <c r="U129" s="9" t="str">
        <f aca="true">IF(R129="","",IF(T129&lt;&gt;"",T129-R129,TODAY()-R129))</f>
        <v/>
      </c>
      <c r="V129" s="7"/>
      <c r="W129" s="6"/>
    </row>
    <row r="130" customFormat="false" ht="15" hidden="false" customHeight="false" outlineLevel="0" collapsed="false">
      <c r="A130" s="4" t="str">
        <f aca="false">IF(C130="","",IF(B130="","ISS",IFERROR(INDEX(Projects!$B$6:$B$20,MATCH(B130,Projects!$A$6:$A$20,0)),"ISS"))&amp;"-"&amp;TEXT(COUNTIF($B$6:B130,B130),"000"))</f>
        <v/>
      </c>
      <c r="B130" s="5"/>
      <c r="C130" s="6"/>
      <c r="D130" s="6"/>
      <c r="E130" s="7"/>
      <c r="F130" s="5"/>
      <c r="G130" s="5"/>
      <c r="H130" s="5"/>
      <c r="I130" s="5"/>
      <c r="J130" s="5"/>
      <c r="K130" s="6"/>
      <c r="L130" s="6"/>
      <c r="M130" s="6"/>
      <c r="N130" s="7"/>
      <c r="O130" s="6"/>
      <c r="P130" s="7"/>
      <c r="Q130" s="7"/>
      <c r="R130" s="8"/>
      <c r="S130" s="8"/>
      <c r="T130" s="8"/>
      <c r="U130" s="9" t="str">
        <f aca="true">IF(R130="","",IF(T130&lt;&gt;"",T130-R130,TODAY()-R130))</f>
        <v/>
      </c>
      <c r="V130" s="7"/>
      <c r="W130" s="6"/>
    </row>
    <row r="131" customFormat="false" ht="15" hidden="false" customHeight="false" outlineLevel="0" collapsed="false">
      <c r="A131" s="4" t="str">
        <f aca="false">IF(C131="","",IF(B131="","ISS",IFERROR(INDEX(Projects!$B$6:$B$20,MATCH(B131,Projects!$A$6:$A$20,0)),"ISS"))&amp;"-"&amp;TEXT(COUNTIF($B$6:B131,B131),"000"))</f>
        <v/>
      </c>
      <c r="B131" s="5"/>
      <c r="C131" s="6"/>
      <c r="D131" s="6"/>
      <c r="E131" s="7"/>
      <c r="F131" s="5"/>
      <c r="G131" s="5"/>
      <c r="H131" s="5"/>
      <c r="I131" s="5"/>
      <c r="J131" s="5"/>
      <c r="K131" s="6"/>
      <c r="L131" s="6"/>
      <c r="M131" s="6"/>
      <c r="N131" s="7"/>
      <c r="O131" s="6"/>
      <c r="P131" s="7"/>
      <c r="Q131" s="7"/>
      <c r="R131" s="8"/>
      <c r="S131" s="8"/>
      <c r="T131" s="8"/>
      <c r="U131" s="9" t="str">
        <f aca="true">IF(R131="","",IF(T131&lt;&gt;"",T131-R131,TODAY()-R131))</f>
        <v/>
      </c>
      <c r="V131" s="7"/>
      <c r="W131" s="6"/>
    </row>
    <row r="132" customFormat="false" ht="15" hidden="false" customHeight="false" outlineLevel="0" collapsed="false">
      <c r="A132" s="4" t="str">
        <f aca="false">IF(C132="","",IF(B132="","ISS",IFERROR(INDEX(Projects!$B$6:$B$20,MATCH(B132,Projects!$A$6:$A$20,0)),"ISS"))&amp;"-"&amp;TEXT(COUNTIF($B$6:B132,B132),"000"))</f>
        <v/>
      </c>
      <c r="B132" s="5"/>
      <c r="C132" s="6"/>
      <c r="D132" s="6"/>
      <c r="E132" s="7"/>
      <c r="F132" s="5"/>
      <c r="G132" s="5"/>
      <c r="H132" s="5"/>
      <c r="I132" s="5"/>
      <c r="J132" s="5"/>
      <c r="K132" s="6"/>
      <c r="L132" s="6"/>
      <c r="M132" s="6"/>
      <c r="N132" s="7"/>
      <c r="O132" s="6"/>
      <c r="P132" s="7"/>
      <c r="Q132" s="7"/>
      <c r="R132" s="8"/>
      <c r="S132" s="8"/>
      <c r="T132" s="8"/>
      <c r="U132" s="9" t="str">
        <f aca="true">IF(R132="","",IF(T132&lt;&gt;"",T132-R132,TODAY()-R132))</f>
        <v/>
      </c>
      <c r="V132" s="7"/>
      <c r="W132" s="6"/>
    </row>
    <row r="133" customFormat="false" ht="15" hidden="false" customHeight="false" outlineLevel="0" collapsed="false">
      <c r="A133" s="4" t="str">
        <f aca="false">IF(C133="","",IF(B133="","ISS",IFERROR(INDEX(Projects!$B$6:$B$20,MATCH(B133,Projects!$A$6:$A$20,0)),"ISS"))&amp;"-"&amp;TEXT(COUNTIF($B$6:B133,B133),"000"))</f>
        <v/>
      </c>
      <c r="B133" s="5"/>
      <c r="C133" s="6"/>
      <c r="D133" s="6"/>
      <c r="E133" s="7"/>
      <c r="F133" s="5"/>
      <c r="G133" s="5"/>
      <c r="H133" s="5"/>
      <c r="I133" s="5"/>
      <c r="J133" s="5"/>
      <c r="K133" s="6"/>
      <c r="L133" s="6"/>
      <c r="M133" s="6"/>
      <c r="N133" s="7"/>
      <c r="O133" s="6"/>
      <c r="P133" s="7"/>
      <c r="Q133" s="7"/>
      <c r="R133" s="8"/>
      <c r="S133" s="8"/>
      <c r="T133" s="8"/>
      <c r="U133" s="9" t="str">
        <f aca="true">IF(R133="","",IF(T133&lt;&gt;"",T133-R133,TODAY()-R133))</f>
        <v/>
      </c>
      <c r="V133" s="7"/>
      <c r="W133" s="6"/>
    </row>
    <row r="134" customFormat="false" ht="15" hidden="false" customHeight="false" outlineLevel="0" collapsed="false">
      <c r="A134" s="4" t="str">
        <f aca="false">IF(C134="","",IF(B134="","ISS",IFERROR(INDEX(Projects!$B$6:$B$20,MATCH(B134,Projects!$A$6:$A$20,0)),"ISS"))&amp;"-"&amp;TEXT(COUNTIF($B$6:B134,B134),"000"))</f>
        <v/>
      </c>
      <c r="B134" s="5"/>
      <c r="C134" s="6"/>
      <c r="D134" s="6"/>
      <c r="E134" s="7"/>
      <c r="F134" s="5"/>
      <c r="G134" s="5"/>
      <c r="H134" s="5"/>
      <c r="I134" s="5"/>
      <c r="J134" s="5"/>
      <c r="K134" s="6"/>
      <c r="L134" s="6"/>
      <c r="M134" s="6"/>
      <c r="N134" s="7"/>
      <c r="O134" s="6"/>
      <c r="P134" s="7"/>
      <c r="Q134" s="7"/>
      <c r="R134" s="8"/>
      <c r="S134" s="8"/>
      <c r="T134" s="8"/>
      <c r="U134" s="9" t="str">
        <f aca="true">IF(R134="","",IF(T134&lt;&gt;"",T134-R134,TODAY()-R134))</f>
        <v/>
      </c>
      <c r="V134" s="7"/>
      <c r="W134" s="6"/>
    </row>
    <row r="135" customFormat="false" ht="15" hidden="false" customHeight="false" outlineLevel="0" collapsed="false">
      <c r="A135" s="4" t="str">
        <f aca="false">IF(C135="","",IF(B135="","ISS",IFERROR(INDEX(Projects!$B$6:$B$20,MATCH(B135,Projects!$A$6:$A$20,0)),"ISS"))&amp;"-"&amp;TEXT(COUNTIF($B$6:B135,B135),"000"))</f>
        <v/>
      </c>
      <c r="B135" s="5"/>
      <c r="C135" s="6"/>
      <c r="D135" s="6"/>
      <c r="E135" s="7"/>
      <c r="F135" s="5"/>
      <c r="G135" s="5"/>
      <c r="H135" s="5"/>
      <c r="I135" s="5"/>
      <c r="J135" s="5"/>
      <c r="K135" s="6"/>
      <c r="L135" s="6"/>
      <c r="M135" s="6"/>
      <c r="N135" s="7"/>
      <c r="O135" s="6"/>
      <c r="P135" s="7"/>
      <c r="Q135" s="7"/>
      <c r="R135" s="8"/>
      <c r="S135" s="8"/>
      <c r="T135" s="8"/>
      <c r="U135" s="9" t="str">
        <f aca="true">IF(R135="","",IF(T135&lt;&gt;"",T135-R135,TODAY()-R135))</f>
        <v/>
      </c>
      <c r="V135" s="7"/>
      <c r="W135" s="6"/>
    </row>
    <row r="136" customFormat="false" ht="15" hidden="false" customHeight="false" outlineLevel="0" collapsed="false">
      <c r="A136" s="4" t="str">
        <f aca="false">IF(C136="","",IF(B136="","ISS",IFERROR(INDEX(Projects!$B$6:$B$20,MATCH(B136,Projects!$A$6:$A$20,0)),"ISS"))&amp;"-"&amp;TEXT(COUNTIF($B$6:B136,B136),"000"))</f>
        <v/>
      </c>
      <c r="B136" s="5"/>
      <c r="C136" s="6"/>
      <c r="D136" s="6"/>
      <c r="E136" s="7"/>
      <c r="F136" s="5"/>
      <c r="G136" s="5"/>
      <c r="H136" s="5"/>
      <c r="I136" s="5"/>
      <c r="J136" s="5"/>
      <c r="K136" s="6"/>
      <c r="L136" s="6"/>
      <c r="M136" s="6"/>
      <c r="N136" s="7"/>
      <c r="O136" s="6"/>
      <c r="P136" s="7"/>
      <c r="Q136" s="7"/>
      <c r="R136" s="8"/>
      <c r="S136" s="8"/>
      <c r="T136" s="8"/>
      <c r="U136" s="9" t="str">
        <f aca="true">IF(R136="","",IF(T136&lt;&gt;"",T136-R136,TODAY()-R136))</f>
        <v/>
      </c>
      <c r="V136" s="7"/>
      <c r="W136" s="6"/>
    </row>
    <row r="137" customFormat="false" ht="15" hidden="false" customHeight="false" outlineLevel="0" collapsed="false">
      <c r="A137" s="4" t="str">
        <f aca="false">IF(C137="","",IF(B137="","ISS",IFERROR(INDEX(Projects!$B$6:$B$20,MATCH(B137,Projects!$A$6:$A$20,0)),"ISS"))&amp;"-"&amp;TEXT(COUNTIF($B$6:B137,B137),"000"))</f>
        <v/>
      </c>
      <c r="B137" s="5"/>
      <c r="C137" s="6"/>
      <c r="D137" s="6"/>
      <c r="E137" s="7"/>
      <c r="F137" s="5"/>
      <c r="G137" s="5"/>
      <c r="H137" s="5"/>
      <c r="I137" s="5"/>
      <c r="J137" s="5"/>
      <c r="K137" s="6"/>
      <c r="L137" s="6"/>
      <c r="M137" s="6"/>
      <c r="N137" s="7"/>
      <c r="O137" s="6"/>
      <c r="P137" s="7"/>
      <c r="Q137" s="7"/>
      <c r="R137" s="8"/>
      <c r="S137" s="8"/>
      <c r="T137" s="8"/>
      <c r="U137" s="9" t="str">
        <f aca="true">IF(R137="","",IF(T137&lt;&gt;"",T137-R137,TODAY()-R137))</f>
        <v/>
      </c>
      <c r="V137" s="7"/>
      <c r="W137" s="6"/>
    </row>
    <row r="138" customFormat="false" ht="15" hidden="false" customHeight="false" outlineLevel="0" collapsed="false">
      <c r="A138" s="4" t="str">
        <f aca="false">IF(C138="","",IF(B138="","ISS",IFERROR(INDEX(Projects!$B$6:$B$20,MATCH(B138,Projects!$A$6:$A$20,0)),"ISS"))&amp;"-"&amp;TEXT(COUNTIF($B$6:B138,B138),"000"))</f>
        <v/>
      </c>
      <c r="B138" s="5"/>
      <c r="C138" s="6"/>
      <c r="D138" s="6"/>
      <c r="E138" s="7"/>
      <c r="F138" s="5"/>
      <c r="G138" s="5"/>
      <c r="H138" s="5"/>
      <c r="I138" s="5"/>
      <c r="J138" s="5"/>
      <c r="K138" s="6"/>
      <c r="L138" s="6"/>
      <c r="M138" s="6"/>
      <c r="N138" s="7"/>
      <c r="O138" s="6"/>
      <c r="P138" s="7"/>
      <c r="Q138" s="7"/>
      <c r="R138" s="8"/>
      <c r="S138" s="8"/>
      <c r="T138" s="8"/>
      <c r="U138" s="9" t="str">
        <f aca="true">IF(R138="","",IF(T138&lt;&gt;"",T138-R138,TODAY()-R138))</f>
        <v/>
      </c>
      <c r="V138" s="7"/>
      <c r="W138" s="6"/>
    </row>
    <row r="139" customFormat="false" ht="15" hidden="false" customHeight="false" outlineLevel="0" collapsed="false">
      <c r="A139" s="4" t="str">
        <f aca="false">IF(C139="","",IF(B139="","ISS",IFERROR(INDEX(Projects!$B$6:$B$20,MATCH(B139,Projects!$A$6:$A$20,0)),"ISS"))&amp;"-"&amp;TEXT(COUNTIF($B$6:B139,B139),"000"))</f>
        <v/>
      </c>
      <c r="B139" s="5"/>
      <c r="C139" s="6"/>
      <c r="D139" s="6"/>
      <c r="E139" s="7"/>
      <c r="F139" s="5"/>
      <c r="G139" s="5"/>
      <c r="H139" s="5"/>
      <c r="I139" s="5"/>
      <c r="J139" s="5"/>
      <c r="K139" s="6"/>
      <c r="L139" s="6"/>
      <c r="M139" s="6"/>
      <c r="N139" s="7"/>
      <c r="O139" s="6"/>
      <c r="P139" s="7"/>
      <c r="Q139" s="7"/>
      <c r="R139" s="8"/>
      <c r="S139" s="8"/>
      <c r="T139" s="8"/>
      <c r="U139" s="9" t="str">
        <f aca="true">IF(R139="","",IF(T139&lt;&gt;"",T139-R139,TODAY()-R139))</f>
        <v/>
      </c>
      <c r="V139" s="7"/>
      <c r="W139" s="6"/>
    </row>
    <row r="140" customFormat="false" ht="15" hidden="false" customHeight="false" outlineLevel="0" collapsed="false">
      <c r="A140" s="4" t="str">
        <f aca="false">IF(C140="","",IF(B140="","ISS",IFERROR(INDEX(Projects!$B$6:$B$20,MATCH(B140,Projects!$A$6:$A$20,0)),"ISS"))&amp;"-"&amp;TEXT(COUNTIF($B$6:B140,B140),"000"))</f>
        <v/>
      </c>
      <c r="B140" s="5"/>
      <c r="C140" s="6"/>
      <c r="D140" s="6"/>
      <c r="E140" s="7"/>
      <c r="F140" s="5"/>
      <c r="G140" s="5"/>
      <c r="H140" s="5"/>
      <c r="I140" s="5"/>
      <c r="J140" s="5"/>
      <c r="K140" s="6"/>
      <c r="L140" s="6"/>
      <c r="M140" s="6"/>
      <c r="N140" s="7"/>
      <c r="O140" s="6"/>
      <c r="P140" s="7"/>
      <c r="Q140" s="7"/>
      <c r="R140" s="8"/>
      <c r="S140" s="8"/>
      <c r="T140" s="8"/>
      <c r="U140" s="9" t="str">
        <f aca="true">IF(R140="","",IF(T140&lt;&gt;"",T140-R140,TODAY()-R140))</f>
        <v/>
      </c>
      <c r="V140" s="7"/>
      <c r="W140" s="6"/>
    </row>
    <row r="141" customFormat="false" ht="15" hidden="false" customHeight="false" outlineLevel="0" collapsed="false">
      <c r="A141" s="4" t="str">
        <f aca="false">IF(C141="","",IF(B141="","ISS",IFERROR(INDEX(Projects!$B$6:$B$20,MATCH(B141,Projects!$A$6:$A$20,0)),"ISS"))&amp;"-"&amp;TEXT(COUNTIF($B$6:B141,B141),"000"))</f>
        <v/>
      </c>
      <c r="B141" s="5"/>
      <c r="C141" s="6"/>
      <c r="D141" s="6"/>
      <c r="E141" s="7"/>
      <c r="F141" s="5"/>
      <c r="G141" s="5"/>
      <c r="H141" s="5"/>
      <c r="I141" s="5"/>
      <c r="J141" s="5"/>
      <c r="K141" s="6"/>
      <c r="L141" s="6"/>
      <c r="M141" s="6"/>
      <c r="N141" s="7"/>
      <c r="O141" s="6"/>
      <c r="P141" s="7"/>
      <c r="Q141" s="7"/>
      <c r="R141" s="8"/>
      <c r="S141" s="8"/>
      <c r="T141" s="8"/>
      <c r="U141" s="9" t="str">
        <f aca="true">IF(R141="","",IF(T141&lt;&gt;"",T141-R141,TODAY()-R141))</f>
        <v/>
      </c>
      <c r="V141" s="7"/>
      <c r="W141" s="6"/>
    </row>
    <row r="142" customFormat="false" ht="15" hidden="false" customHeight="false" outlineLevel="0" collapsed="false">
      <c r="A142" s="4" t="str">
        <f aca="false">IF(C142="","",IF(B142="","ISS",IFERROR(INDEX(Projects!$B$6:$B$20,MATCH(B142,Projects!$A$6:$A$20,0)),"ISS"))&amp;"-"&amp;TEXT(COUNTIF($B$6:B142,B142),"000"))</f>
        <v/>
      </c>
      <c r="B142" s="5"/>
      <c r="C142" s="6"/>
      <c r="D142" s="6"/>
      <c r="E142" s="7"/>
      <c r="F142" s="5"/>
      <c r="G142" s="5"/>
      <c r="H142" s="5"/>
      <c r="I142" s="5"/>
      <c r="J142" s="5"/>
      <c r="K142" s="6"/>
      <c r="L142" s="6"/>
      <c r="M142" s="6"/>
      <c r="N142" s="7"/>
      <c r="O142" s="6"/>
      <c r="P142" s="7"/>
      <c r="Q142" s="7"/>
      <c r="R142" s="8"/>
      <c r="S142" s="8"/>
      <c r="T142" s="8"/>
      <c r="U142" s="9" t="str">
        <f aca="true">IF(R142="","",IF(T142&lt;&gt;"",T142-R142,TODAY()-R142))</f>
        <v/>
      </c>
      <c r="V142" s="7"/>
      <c r="W142" s="6"/>
    </row>
    <row r="143" customFormat="false" ht="15" hidden="false" customHeight="false" outlineLevel="0" collapsed="false">
      <c r="A143" s="4" t="str">
        <f aca="false">IF(C143="","",IF(B143="","ISS",IFERROR(INDEX(Projects!$B$6:$B$20,MATCH(B143,Projects!$A$6:$A$20,0)),"ISS"))&amp;"-"&amp;TEXT(COUNTIF($B$6:B143,B143),"000"))</f>
        <v/>
      </c>
      <c r="B143" s="5"/>
      <c r="C143" s="6"/>
      <c r="D143" s="6"/>
      <c r="E143" s="7"/>
      <c r="F143" s="5"/>
      <c r="G143" s="5"/>
      <c r="H143" s="5"/>
      <c r="I143" s="5"/>
      <c r="J143" s="5"/>
      <c r="K143" s="6"/>
      <c r="L143" s="6"/>
      <c r="M143" s="6"/>
      <c r="N143" s="7"/>
      <c r="O143" s="6"/>
      <c r="P143" s="7"/>
      <c r="Q143" s="7"/>
      <c r="R143" s="8"/>
      <c r="S143" s="8"/>
      <c r="T143" s="8"/>
      <c r="U143" s="9" t="str">
        <f aca="true">IF(R143="","",IF(T143&lt;&gt;"",T143-R143,TODAY()-R143))</f>
        <v/>
      </c>
      <c r="V143" s="7"/>
      <c r="W143" s="6"/>
    </row>
    <row r="144" customFormat="false" ht="15" hidden="false" customHeight="false" outlineLevel="0" collapsed="false">
      <c r="A144" s="4" t="str">
        <f aca="false">IF(C144="","",IF(B144="","ISS",IFERROR(INDEX(Projects!$B$6:$B$20,MATCH(B144,Projects!$A$6:$A$20,0)),"ISS"))&amp;"-"&amp;TEXT(COUNTIF($B$6:B144,B144),"000"))</f>
        <v/>
      </c>
      <c r="B144" s="5"/>
      <c r="C144" s="6"/>
      <c r="D144" s="6"/>
      <c r="E144" s="7"/>
      <c r="F144" s="5"/>
      <c r="G144" s="5"/>
      <c r="H144" s="5"/>
      <c r="I144" s="5"/>
      <c r="J144" s="5"/>
      <c r="K144" s="6"/>
      <c r="L144" s="6"/>
      <c r="M144" s="6"/>
      <c r="N144" s="7"/>
      <c r="O144" s="6"/>
      <c r="P144" s="7"/>
      <c r="Q144" s="7"/>
      <c r="R144" s="8"/>
      <c r="S144" s="8"/>
      <c r="T144" s="8"/>
      <c r="U144" s="9" t="str">
        <f aca="true">IF(R144="","",IF(T144&lt;&gt;"",T144-R144,TODAY()-R144))</f>
        <v/>
      </c>
      <c r="V144" s="7"/>
      <c r="W144" s="6"/>
    </row>
    <row r="145" customFormat="false" ht="15" hidden="false" customHeight="false" outlineLevel="0" collapsed="false">
      <c r="A145" s="4" t="str">
        <f aca="false">IF(C145="","",IF(B145="","ISS",IFERROR(INDEX(Projects!$B$6:$B$20,MATCH(B145,Projects!$A$6:$A$20,0)),"ISS"))&amp;"-"&amp;TEXT(COUNTIF($B$6:B145,B145),"000"))</f>
        <v/>
      </c>
      <c r="B145" s="5"/>
      <c r="C145" s="6"/>
      <c r="D145" s="6"/>
      <c r="E145" s="7"/>
      <c r="F145" s="5"/>
      <c r="G145" s="5"/>
      <c r="H145" s="5"/>
      <c r="I145" s="5"/>
      <c r="J145" s="5"/>
      <c r="K145" s="6"/>
      <c r="L145" s="6"/>
      <c r="M145" s="6"/>
      <c r="N145" s="7"/>
      <c r="O145" s="6"/>
      <c r="P145" s="7"/>
      <c r="Q145" s="7"/>
      <c r="R145" s="8"/>
      <c r="S145" s="8"/>
      <c r="T145" s="8"/>
      <c r="U145" s="9" t="str">
        <f aca="true">IF(R145="","",IF(T145&lt;&gt;"",T145-R145,TODAY()-R145))</f>
        <v/>
      </c>
      <c r="V145" s="7"/>
      <c r="W145" s="6"/>
    </row>
    <row r="146" customFormat="false" ht="15" hidden="false" customHeight="false" outlineLevel="0" collapsed="false">
      <c r="A146" s="4" t="str">
        <f aca="false">IF(C146="","",IF(B146="","ISS",IFERROR(INDEX(Projects!$B$6:$B$20,MATCH(B146,Projects!$A$6:$A$20,0)),"ISS"))&amp;"-"&amp;TEXT(COUNTIF($B$6:B146,B146),"000"))</f>
        <v/>
      </c>
      <c r="B146" s="5"/>
      <c r="C146" s="6"/>
      <c r="D146" s="6"/>
      <c r="E146" s="7"/>
      <c r="F146" s="5"/>
      <c r="G146" s="5"/>
      <c r="H146" s="5"/>
      <c r="I146" s="5"/>
      <c r="J146" s="5"/>
      <c r="K146" s="6"/>
      <c r="L146" s="6"/>
      <c r="M146" s="6"/>
      <c r="N146" s="7"/>
      <c r="O146" s="6"/>
      <c r="P146" s="7"/>
      <c r="Q146" s="7"/>
      <c r="R146" s="8"/>
      <c r="S146" s="8"/>
      <c r="T146" s="8"/>
      <c r="U146" s="9" t="str">
        <f aca="true">IF(R146="","",IF(T146&lt;&gt;"",T146-R146,TODAY()-R146))</f>
        <v/>
      </c>
      <c r="V146" s="7"/>
      <c r="W146" s="6"/>
    </row>
    <row r="147" customFormat="false" ht="15" hidden="false" customHeight="false" outlineLevel="0" collapsed="false">
      <c r="A147" s="4" t="str">
        <f aca="false">IF(C147="","",IF(B147="","ISS",IFERROR(INDEX(Projects!$B$6:$B$20,MATCH(B147,Projects!$A$6:$A$20,0)),"ISS"))&amp;"-"&amp;TEXT(COUNTIF($B$6:B147,B147),"000"))</f>
        <v/>
      </c>
      <c r="B147" s="5"/>
      <c r="C147" s="6"/>
      <c r="D147" s="6"/>
      <c r="E147" s="7"/>
      <c r="F147" s="5"/>
      <c r="G147" s="5"/>
      <c r="H147" s="5"/>
      <c r="I147" s="5"/>
      <c r="J147" s="5"/>
      <c r="K147" s="6"/>
      <c r="L147" s="6"/>
      <c r="M147" s="6"/>
      <c r="N147" s="7"/>
      <c r="O147" s="6"/>
      <c r="P147" s="7"/>
      <c r="Q147" s="7"/>
      <c r="R147" s="8"/>
      <c r="S147" s="8"/>
      <c r="T147" s="8"/>
      <c r="U147" s="9" t="str">
        <f aca="true">IF(R147="","",IF(T147&lt;&gt;"",T147-R147,TODAY()-R147))</f>
        <v/>
      </c>
      <c r="V147" s="7"/>
      <c r="W147" s="6"/>
    </row>
    <row r="148" customFormat="false" ht="15" hidden="false" customHeight="false" outlineLevel="0" collapsed="false">
      <c r="A148" s="4" t="str">
        <f aca="false">IF(C148="","",IF(B148="","ISS",IFERROR(INDEX(Projects!$B$6:$B$20,MATCH(B148,Projects!$A$6:$A$20,0)),"ISS"))&amp;"-"&amp;TEXT(COUNTIF($B$6:B148,B148),"000"))</f>
        <v/>
      </c>
      <c r="B148" s="5"/>
      <c r="C148" s="6"/>
      <c r="D148" s="6"/>
      <c r="E148" s="7"/>
      <c r="F148" s="5"/>
      <c r="G148" s="5"/>
      <c r="H148" s="5"/>
      <c r="I148" s="5"/>
      <c r="J148" s="5"/>
      <c r="K148" s="6"/>
      <c r="L148" s="6"/>
      <c r="M148" s="6"/>
      <c r="N148" s="7"/>
      <c r="O148" s="6"/>
      <c r="P148" s="7"/>
      <c r="Q148" s="7"/>
      <c r="R148" s="8"/>
      <c r="S148" s="8"/>
      <c r="T148" s="8"/>
      <c r="U148" s="9" t="str">
        <f aca="true">IF(R148="","",IF(T148&lt;&gt;"",T148-R148,TODAY()-R148))</f>
        <v/>
      </c>
      <c r="V148" s="7"/>
      <c r="W148" s="6"/>
    </row>
    <row r="149" customFormat="false" ht="15" hidden="false" customHeight="false" outlineLevel="0" collapsed="false">
      <c r="A149" s="4" t="str">
        <f aca="false">IF(C149="","",IF(B149="","ISS",IFERROR(INDEX(Projects!$B$6:$B$20,MATCH(B149,Projects!$A$6:$A$20,0)),"ISS"))&amp;"-"&amp;TEXT(COUNTIF($B$6:B149,B149),"000"))</f>
        <v/>
      </c>
      <c r="B149" s="5"/>
      <c r="C149" s="6"/>
      <c r="D149" s="6"/>
      <c r="E149" s="7"/>
      <c r="F149" s="5"/>
      <c r="G149" s="5"/>
      <c r="H149" s="5"/>
      <c r="I149" s="5"/>
      <c r="J149" s="5"/>
      <c r="K149" s="6"/>
      <c r="L149" s="6"/>
      <c r="M149" s="6"/>
      <c r="N149" s="7"/>
      <c r="O149" s="6"/>
      <c r="P149" s="7"/>
      <c r="Q149" s="7"/>
      <c r="R149" s="8"/>
      <c r="S149" s="8"/>
      <c r="T149" s="8"/>
      <c r="U149" s="9" t="str">
        <f aca="true">IF(R149="","",IF(T149&lt;&gt;"",T149-R149,TODAY()-R149))</f>
        <v/>
      </c>
      <c r="V149" s="7"/>
      <c r="W149" s="6"/>
    </row>
    <row r="150" customFormat="false" ht="15" hidden="false" customHeight="false" outlineLevel="0" collapsed="false">
      <c r="A150" s="4" t="str">
        <f aca="false">IF(C150="","",IF(B150="","ISS",IFERROR(INDEX(Projects!$B$6:$B$20,MATCH(B150,Projects!$A$6:$A$20,0)),"ISS"))&amp;"-"&amp;TEXT(COUNTIF($B$6:B150,B150),"000"))</f>
        <v/>
      </c>
      <c r="B150" s="5"/>
      <c r="C150" s="6"/>
      <c r="D150" s="6"/>
      <c r="E150" s="7"/>
      <c r="F150" s="5"/>
      <c r="G150" s="5"/>
      <c r="H150" s="5"/>
      <c r="I150" s="5"/>
      <c r="J150" s="5"/>
      <c r="K150" s="6"/>
      <c r="L150" s="6"/>
      <c r="M150" s="6"/>
      <c r="N150" s="7"/>
      <c r="O150" s="6"/>
      <c r="P150" s="7"/>
      <c r="Q150" s="7"/>
      <c r="R150" s="8"/>
      <c r="S150" s="8"/>
      <c r="T150" s="8"/>
      <c r="U150" s="9" t="str">
        <f aca="true">IF(R150="","",IF(T150&lt;&gt;"",T150-R150,TODAY()-R150))</f>
        <v/>
      </c>
      <c r="V150" s="7"/>
      <c r="W150" s="6"/>
    </row>
    <row r="151" customFormat="false" ht="15" hidden="false" customHeight="false" outlineLevel="0" collapsed="false">
      <c r="A151" s="4" t="str">
        <f aca="false">IF(C151="","",IF(B151="","ISS",IFERROR(INDEX(Projects!$B$6:$B$20,MATCH(B151,Projects!$A$6:$A$20,0)),"ISS"))&amp;"-"&amp;TEXT(COUNTIF($B$6:B151,B151),"000"))</f>
        <v/>
      </c>
      <c r="B151" s="5"/>
      <c r="C151" s="6"/>
      <c r="D151" s="6"/>
      <c r="E151" s="7"/>
      <c r="F151" s="5"/>
      <c r="G151" s="5"/>
      <c r="H151" s="5"/>
      <c r="I151" s="5"/>
      <c r="J151" s="5"/>
      <c r="K151" s="6"/>
      <c r="L151" s="6"/>
      <c r="M151" s="6"/>
      <c r="N151" s="7"/>
      <c r="O151" s="6"/>
      <c r="P151" s="7"/>
      <c r="Q151" s="7"/>
      <c r="R151" s="8"/>
      <c r="S151" s="8"/>
      <c r="T151" s="8"/>
      <c r="U151" s="9" t="str">
        <f aca="true">IF(R151="","",IF(T151&lt;&gt;"",T151-R151,TODAY()-R151))</f>
        <v/>
      </c>
      <c r="V151" s="7"/>
      <c r="W151" s="6"/>
    </row>
    <row r="152" customFormat="false" ht="15" hidden="false" customHeight="false" outlineLevel="0" collapsed="false">
      <c r="A152" s="4" t="str">
        <f aca="false">IF(C152="","",IF(B152="","ISS",IFERROR(INDEX(Projects!$B$6:$B$20,MATCH(B152,Projects!$A$6:$A$20,0)),"ISS"))&amp;"-"&amp;TEXT(COUNTIF($B$6:B152,B152),"000"))</f>
        <v/>
      </c>
      <c r="B152" s="5"/>
      <c r="C152" s="6"/>
      <c r="D152" s="6"/>
      <c r="E152" s="7"/>
      <c r="F152" s="5"/>
      <c r="G152" s="5"/>
      <c r="H152" s="5"/>
      <c r="I152" s="5"/>
      <c r="J152" s="5"/>
      <c r="K152" s="6"/>
      <c r="L152" s="6"/>
      <c r="M152" s="6"/>
      <c r="N152" s="7"/>
      <c r="O152" s="6"/>
      <c r="P152" s="7"/>
      <c r="Q152" s="7"/>
      <c r="R152" s="8"/>
      <c r="S152" s="8"/>
      <c r="T152" s="8"/>
      <c r="U152" s="9" t="str">
        <f aca="true">IF(R152="","",IF(T152&lt;&gt;"",T152-R152,TODAY()-R152))</f>
        <v/>
      </c>
      <c r="V152" s="7"/>
      <c r="W152" s="6"/>
    </row>
    <row r="153" customFormat="false" ht="15" hidden="false" customHeight="false" outlineLevel="0" collapsed="false">
      <c r="A153" s="4" t="str">
        <f aca="false">IF(C153="","",IF(B153="","ISS",IFERROR(INDEX(Projects!$B$6:$B$20,MATCH(B153,Projects!$A$6:$A$20,0)),"ISS"))&amp;"-"&amp;TEXT(COUNTIF($B$6:B153,B153),"000"))</f>
        <v/>
      </c>
      <c r="B153" s="5"/>
      <c r="C153" s="6"/>
      <c r="D153" s="6"/>
      <c r="E153" s="7"/>
      <c r="F153" s="5"/>
      <c r="G153" s="5"/>
      <c r="H153" s="5"/>
      <c r="I153" s="5"/>
      <c r="J153" s="5"/>
      <c r="K153" s="6"/>
      <c r="L153" s="6"/>
      <c r="M153" s="6"/>
      <c r="N153" s="7"/>
      <c r="O153" s="6"/>
      <c r="P153" s="7"/>
      <c r="Q153" s="7"/>
      <c r="R153" s="8"/>
      <c r="S153" s="8"/>
      <c r="T153" s="8"/>
      <c r="U153" s="9" t="str">
        <f aca="true">IF(R153="","",IF(T153&lt;&gt;"",T153-R153,TODAY()-R153))</f>
        <v/>
      </c>
      <c r="V153" s="7"/>
      <c r="W153" s="6"/>
    </row>
    <row r="154" customFormat="false" ht="15" hidden="false" customHeight="false" outlineLevel="0" collapsed="false">
      <c r="A154" s="4" t="str">
        <f aca="false">IF(C154="","",IF(B154="","ISS",IFERROR(INDEX(Projects!$B$6:$B$20,MATCH(B154,Projects!$A$6:$A$20,0)),"ISS"))&amp;"-"&amp;TEXT(COUNTIF($B$6:B154,B154),"000"))</f>
        <v/>
      </c>
      <c r="B154" s="5"/>
      <c r="C154" s="6"/>
      <c r="D154" s="6"/>
      <c r="E154" s="7"/>
      <c r="F154" s="5"/>
      <c r="G154" s="5"/>
      <c r="H154" s="5"/>
      <c r="I154" s="5"/>
      <c r="J154" s="5"/>
      <c r="K154" s="6"/>
      <c r="L154" s="6"/>
      <c r="M154" s="6"/>
      <c r="N154" s="7"/>
      <c r="O154" s="6"/>
      <c r="P154" s="7"/>
      <c r="Q154" s="7"/>
      <c r="R154" s="8"/>
      <c r="S154" s="8"/>
      <c r="T154" s="8"/>
      <c r="U154" s="9" t="str">
        <f aca="true">IF(R154="","",IF(T154&lt;&gt;"",T154-R154,TODAY()-R154))</f>
        <v/>
      </c>
      <c r="V154" s="7"/>
      <c r="W154" s="6"/>
    </row>
    <row r="155" customFormat="false" ht="15" hidden="false" customHeight="false" outlineLevel="0" collapsed="false">
      <c r="A155" s="4" t="str">
        <f aca="false">IF(C155="","",IF(B155="","ISS",IFERROR(INDEX(Projects!$B$6:$B$20,MATCH(B155,Projects!$A$6:$A$20,0)),"ISS"))&amp;"-"&amp;TEXT(COUNTIF($B$6:B155,B155),"000"))</f>
        <v/>
      </c>
      <c r="B155" s="5"/>
      <c r="C155" s="6"/>
      <c r="D155" s="6"/>
      <c r="E155" s="7"/>
      <c r="F155" s="5"/>
      <c r="G155" s="5"/>
      <c r="H155" s="5"/>
      <c r="I155" s="5"/>
      <c r="J155" s="5"/>
      <c r="K155" s="6"/>
      <c r="L155" s="6"/>
      <c r="M155" s="6"/>
      <c r="N155" s="7"/>
      <c r="O155" s="6"/>
      <c r="P155" s="7"/>
      <c r="Q155" s="7"/>
      <c r="R155" s="8"/>
      <c r="S155" s="8"/>
      <c r="T155" s="8"/>
      <c r="U155" s="9" t="str">
        <f aca="true">IF(R155="","",IF(T155&lt;&gt;"",T155-R155,TODAY()-R155))</f>
        <v/>
      </c>
      <c r="V155" s="7"/>
      <c r="W155" s="6"/>
    </row>
    <row r="156" customFormat="false" ht="15" hidden="false" customHeight="false" outlineLevel="0" collapsed="false">
      <c r="A156" s="4" t="str">
        <f aca="false">IF(C156="","",IF(B156="","ISS",IFERROR(INDEX(Projects!$B$6:$B$20,MATCH(B156,Projects!$A$6:$A$20,0)),"ISS"))&amp;"-"&amp;TEXT(COUNTIF($B$6:B156,B156),"000"))</f>
        <v/>
      </c>
      <c r="B156" s="5"/>
      <c r="C156" s="6"/>
      <c r="D156" s="6"/>
      <c r="E156" s="7"/>
      <c r="F156" s="5"/>
      <c r="G156" s="5"/>
      <c r="H156" s="5"/>
      <c r="I156" s="5"/>
      <c r="J156" s="5"/>
      <c r="K156" s="6"/>
      <c r="L156" s="6"/>
      <c r="M156" s="6"/>
      <c r="N156" s="7"/>
      <c r="O156" s="6"/>
      <c r="P156" s="7"/>
      <c r="Q156" s="7"/>
      <c r="R156" s="8"/>
      <c r="S156" s="8"/>
      <c r="T156" s="8"/>
      <c r="U156" s="9" t="str">
        <f aca="true">IF(R156="","",IF(T156&lt;&gt;"",T156-R156,TODAY()-R156))</f>
        <v/>
      </c>
      <c r="V156" s="7"/>
      <c r="W156" s="6"/>
    </row>
    <row r="157" customFormat="false" ht="15" hidden="false" customHeight="false" outlineLevel="0" collapsed="false">
      <c r="A157" s="4" t="str">
        <f aca="false">IF(C157="","",IF(B157="","ISS",IFERROR(INDEX(Projects!$B$6:$B$20,MATCH(B157,Projects!$A$6:$A$20,0)),"ISS"))&amp;"-"&amp;TEXT(COUNTIF($B$6:B157,B157),"000"))</f>
        <v/>
      </c>
      <c r="B157" s="5"/>
      <c r="C157" s="6"/>
      <c r="D157" s="6"/>
      <c r="E157" s="7"/>
      <c r="F157" s="5"/>
      <c r="G157" s="5"/>
      <c r="H157" s="5"/>
      <c r="I157" s="5"/>
      <c r="J157" s="5"/>
      <c r="K157" s="6"/>
      <c r="L157" s="6"/>
      <c r="M157" s="6"/>
      <c r="N157" s="7"/>
      <c r="O157" s="6"/>
      <c r="P157" s="7"/>
      <c r="Q157" s="7"/>
      <c r="R157" s="8"/>
      <c r="S157" s="8"/>
      <c r="T157" s="8"/>
      <c r="U157" s="9" t="str">
        <f aca="true">IF(R157="","",IF(T157&lt;&gt;"",T157-R157,TODAY()-R157))</f>
        <v/>
      </c>
      <c r="V157" s="7"/>
      <c r="W157" s="6"/>
    </row>
    <row r="158" customFormat="false" ht="15" hidden="false" customHeight="false" outlineLevel="0" collapsed="false">
      <c r="A158" s="4" t="str">
        <f aca="false">IF(C158="","",IF(B158="","ISS",IFERROR(INDEX(Projects!$B$6:$B$20,MATCH(B158,Projects!$A$6:$A$20,0)),"ISS"))&amp;"-"&amp;TEXT(COUNTIF($B$6:B158,B158),"000"))</f>
        <v/>
      </c>
      <c r="B158" s="5"/>
      <c r="C158" s="6"/>
      <c r="D158" s="6"/>
      <c r="E158" s="7"/>
      <c r="F158" s="5"/>
      <c r="G158" s="5"/>
      <c r="H158" s="5"/>
      <c r="I158" s="5"/>
      <c r="J158" s="5"/>
      <c r="K158" s="6"/>
      <c r="L158" s="6"/>
      <c r="M158" s="6"/>
      <c r="N158" s="7"/>
      <c r="O158" s="6"/>
      <c r="P158" s="7"/>
      <c r="Q158" s="7"/>
      <c r="R158" s="8"/>
      <c r="S158" s="8"/>
      <c r="T158" s="8"/>
      <c r="U158" s="9" t="str">
        <f aca="true">IF(R158="","",IF(T158&lt;&gt;"",T158-R158,TODAY()-R158))</f>
        <v/>
      </c>
      <c r="V158" s="7"/>
      <c r="W158" s="6"/>
    </row>
    <row r="159" customFormat="false" ht="15" hidden="false" customHeight="false" outlineLevel="0" collapsed="false">
      <c r="A159" s="4" t="str">
        <f aca="false">IF(C159="","",IF(B159="","ISS",IFERROR(INDEX(Projects!$B$6:$B$20,MATCH(B159,Projects!$A$6:$A$20,0)),"ISS"))&amp;"-"&amp;TEXT(COUNTIF($B$6:B159,B159),"000"))</f>
        <v/>
      </c>
      <c r="B159" s="5"/>
      <c r="C159" s="6"/>
      <c r="D159" s="6"/>
      <c r="E159" s="7"/>
      <c r="F159" s="5"/>
      <c r="G159" s="5"/>
      <c r="H159" s="5"/>
      <c r="I159" s="5"/>
      <c r="J159" s="5"/>
      <c r="K159" s="6"/>
      <c r="L159" s="6"/>
      <c r="M159" s="6"/>
      <c r="N159" s="7"/>
      <c r="O159" s="6"/>
      <c r="P159" s="7"/>
      <c r="Q159" s="7"/>
      <c r="R159" s="8"/>
      <c r="S159" s="8"/>
      <c r="T159" s="8"/>
      <c r="U159" s="9" t="str">
        <f aca="true">IF(R159="","",IF(T159&lt;&gt;"",T159-R159,TODAY()-R159))</f>
        <v/>
      </c>
      <c r="V159" s="7"/>
      <c r="W159" s="6"/>
    </row>
    <row r="160" customFormat="false" ht="15" hidden="false" customHeight="false" outlineLevel="0" collapsed="false">
      <c r="A160" s="4" t="str">
        <f aca="false">IF(C160="","",IF(B160="","ISS",IFERROR(INDEX(Projects!$B$6:$B$20,MATCH(B160,Projects!$A$6:$A$20,0)),"ISS"))&amp;"-"&amp;TEXT(COUNTIF($B$6:B160,B160),"000"))</f>
        <v/>
      </c>
      <c r="B160" s="5"/>
      <c r="C160" s="6"/>
      <c r="D160" s="6"/>
      <c r="E160" s="7"/>
      <c r="F160" s="5"/>
      <c r="G160" s="5"/>
      <c r="H160" s="5"/>
      <c r="I160" s="5"/>
      <c r="J160" s="5"/>
      <c r="K160" s="6"/>
      <c r="L160" s="6"/>
      <c r="M160" s="6"/>
      <c r="N160" s="7"/>
      <c r="O160" s="6"/>
      <c r="P160" s="7"/>
      <c r="Q160" s="7"/>
      <c r="R160" s="8"/>
      <c r="S160" s="8"/>
      <c r="T160" s="8"/>
      <c r="U160" s="9" t="str">
        <f aca="true">IF(R160="","",IF(T160&lt;&gt;"",T160-R160,TODAY()-R160))</f>
        <v/>
      </c>
      <c r="V160" s="7"/>
      <c r="W160" s="6"/>
    </row>
    <row r="161" customFormat="false" ht="15" hidden="false" customHeight="false" outlineLevel="0" collapsed="false">
      <c r="A161" s="4" t="str">
        <f aca="false">IF(C161="","",IF(B161="","ISS",IFERROR(INDEX(Projects!$B$6:$B$20,MATCH(B161,Projects!$A$6:$A$20,0)),"ISS"))&amp;"-"&amp;TEXT(COUNTIF($B$6:B161,B161),"000"))</f>
        <v/>
      </c>
      <c r="B161" s="5"/>
      <c r="C161" s="6"/>
      <c r="D161" s="6"/>
      <c r="E161" s="7"/>
      <c r="F161" s="5"/>
      <c r="G161" s="5"/>
      <c r="H161" s="5"/>
      <c r="I161" s="5"/>
      <c r="J161" s="5"/>
      <c r="K161" s="6"/>
      <c r="L161" s="6"/>
      <c r="M161" s="6"/>
      <c r="N161" s="7"/>
      <c r="O161" s="6"/>
      <c r="P161" s="7"/>
      <c r="Q161" s="7"/>
      <c r="R161" s="8"/>
      <c r="S161" s="8"/>
      <c r="T161" s="8"/>
      <c r="U161" s="9" t="str">
        <f aca="true">IF(R161="","",IF(T161&lt;&gt;"",T161-R161,TODAY()-R161))</f>
        <v/>
      </c>
      <c r="V161" s="7"/>
      <c r="W161" s="6"/>
    </row>
    <row r="162" customFormat="false" ht="15" hidden="false" customHeight="false" outlineLevel="0" collapsed="false">
      <c r="A162" s="4" t="str">
        <f aca="false">IF(C162="","",IF(B162="","ISS",IFERROR(INDEX(Projects!$B$6:$B$20,MATCH(B162,Projects!$A$6:$A$20,0)),"ISS"))&amp;"-"&amp;TEXT(COUNTIF($B$6:B162,B162),"000"))</f>
        <v/>
      </c>
      <c r="B162" s="5"/>
      <c r="C162" s="6"/>
      <c r="D162" s="6"/>
      <c r="E162" s="7"/>
      <c r="F162" s="5"/>
      <c r="G162" s="5"/>
      <c r="H162" s="5"/>
      <c r="I162" s="5"/>
      <c r="J162" s="5"/>
      <c r="K162" s="6"/>
      <c r="L162" s="6"/>
      <c r="M162" s="6"/>
      <c r="N162" s="7"/>
      <c r="O162" s="6"/>
      <c r="P162" s="7"/>
      <c r="Q162" s="7"/>
      <c r="R162" s="8"/>
      <c r="S162" s="8"/>
      <c r="T162" s="8"/>
      <c r="U162" s="9" t="str">
        <f aca="true">IF(R162="","",IF(T162&lt;&gt;"",T162-R162,TODAY()-R162))</f>
        <v/>
      </c>
      <c r="V162" s="7"/>
      <c r="W162" s="6"/>
    </row>
    <row r="163" customFormat="false" ht="15" hidden="false" customHeight="false" outlineLevel="0" collapsed="false">
      <c r="A163" s="4" t="str">
        <f aca="false">IF(C163="","",IF(B163="","ISS",IFERROR(INDEX(Projects!$B$6:$B$20,MATCH(B163,Projects!$A$6:$A$20,0)),"ISS"))&amp;"-"&amp;TEXT(COUNTIF($B$6:B163,B163),"000"))</f>
        <v/>
      </c>
      <c r="B163" s="5"/>
      <c r="C163" s="6"/>
      <c r="D163" s="6"/>
      <c r="E163" s="7"/>
      <c r="F163" s="5"/>
      <c r="G163" s="5"/>
      <c r="H163" s="5"/>
      <c r="I163" s="5"/>
      <c r="J163" s="5"/>
      <c r="K163" s="6"/>
      <c r="L163" s="6"/>
      <c r="M163" s="6"/>
      <c r="N163" s="7"/>
      <c r="O163" s="6"/>
      <c r="P163" s="7"/>
      <c r="Q163" s="7"/>
      <c r="R163" s="8"/>
      <c r="S163" s="8"/>
      <c r="T163" s="8"/>
      <c r="U163" s="9" t="str">
        <f aca="true">IF(R163="","",IF(T163&lt;&gt;"",T163-R163,TODAY()-R163))</f>
        <v/>
      </c>
      <c r="V163" s="7"/>
      <c r="W163" s="6"/>
    </row>
    <row r="164" customFormat="false" ht="15" hidden="false" customHeight="false" outlineLevel="0" collapsed="false">
      <c r="A164" s="4" t="str">
        <f aca="false">IF(C164="","",IF(B164="","ISS",IFERROR(INDEX(Projects!$B$6:$B$20,MATCH(B164,Projects!$A$6:$A$20,0)),"ISS"))&amp;"-"&amp;TEXT(COUNTIF($B$6:B164,B164),"000"))</f>
        <v/>
      </c>
      <c r="B164" s="5"/>
      <c r="C164" s="6"/>
      <c r="D164" s="6"/>
      <c r="E164" s="7"/>
      <c r="F164" s="5"/>
      <c r="G164" s="5"/>
      <c r="H164" s="5"/>
      <c r="I164" s="5"/>
      <c r="J164" s="5"/>
      <c r="K164" s="6"/>
      <c r="L164" s="6"/>
      <c r="M164" s="6"/>
      <c r="N164" s="7"/>
      <c r="O164" s="6"/>
      <c r="P164" s="7"/>
      <c r="Q164" s="7"/>
      <c r="R164" s="8"/>
      <c r="S164" s="8"/>
      <c r="T164" s="8"/>
      <c r="U164" s="9" t="str">
        <f aca="true">IF(R164="","",IF(T164&lt;&gt;"",T164-R164,TODAY()-R164))</f>
        <v/>
      </c>
      <c r="V164" s="7"/>
      <c r="W164" s="6"/>
    </row>
    <row r="165" customFormat="false" ht="15" hidden="false" customHeight="false" outlineLevel="0" collapsed="false">
      <c r="A165" s="4" t="str">
        <f aca="false">IF(C165="","",IF(B165="","ISS",IFERROR(INDEX(Projects!$B$6:$B$20,MATCH(B165,Projects!$A$6:$A$20,0)),"ISS"))&amp;"-"&amp;TEXT(COUNTIF($B$6:B165,B165),"000"))</f>
        <v/>
      </c>
      <c r="B165" s="5"/>
      <c r="C165" s="6"/>
      <c r="D165" s="6"/>
      <c r="E165" s="7"/>
      <c r="F165" s="5"/>
      <c r="G165" s="5"/>
      <c r="H165" s="5"/>
      <c r="I165" s="5"/>
      <c r="J165" s="5"/>
      <c r="K165" s="6"/>
      <c r="L165" s="6"/>
      <c r="M165" s="6"/>
      <c r="N165" s="7"/>
      <c r="O165" s="6"/>
      <c r="P165" s="7"/>
      <c r="Q165" s="7"/>
      <c r="R165" s="8"/>
      <c r="S165" s="8"/>
      <c r="T165" s="8"/>
      <c r="U165" s="9" t="str">
        <f aca="true">IF(R165="","",IF(T165&lt;&gt;"",T165-R165,TODAY()-R165))</f>
        <v/>
      </c>
      <c r="V165" s="7"/>
      <c r="W165" s="6"/>
    </row>
    <row r="166" customFormat="false" ht="15" hidden="false" customHeight="false" outlineLevel="0" collapsed="false">
      <c r="A166" s="4" t="str">
        <f aca="false">IF(C166="","",IF(B166="","ISS",IFERROR(INDEX(Projects!$B$6:$B$20,MATCH(B166,Projects!$A$6:$A$20,0)),"ISS"))&amp;"-"&amp;TEXT(COUNTIF($B$6:B166,B166),"000"))</f>
        <v/>
      </c>
      <c r="B166" s="5"/>
      <c r="C166" s="6"/>
      <c r="D166" s="6"/>
      <c r="E166" s="7"/>
      <c r="F166" s="5"/>
      <c r="G166" s="5"/>
      <c r="H166" s="5"/>
      <c r="I166" s="5"/>
      <c r="J166" s="5"/>
      <c r="K166" s="6"/>
      <c r="L166" s="6"/>
      <c r="M166" s="6"/>
      <c r="N166" s="7"/>
      <c r="O166" s="6"/>
      <c r="P166" s="7"/>
      <c r="Q166" s="7"/>
      <c r="R166" s="8"/>
      <c r="S166" s="8"/>
      <c r="T166" s="8"/>
      <c r="U166" s="9" t="str">
        <f aca="true">IF(R166="","",IF(T166&lt;&gt;"",T166-R166,TODAY()-R166))</f>
        <v/>
      </c>
      <c r="V166" s="7"/>
      <c r="W166" s="6"/>
    </row>
    <row r="167" customFormat="false" ht="15" hidden="false" customHeight="false" outlineLevel="0" collapsed="false">
      <c r="A167" s="4" t="str">
        <f aca="false">IF(C167="","",IF(B167="","ISS",IFERROR(INDEX(Projects!$B$6:$B$20,MATCH(B167,Projects!$A$6:$A$20,0)),"ISS"))&amp;"-"&amp;TEXT(COUNTIF($B$6:B167,B167),"000"))</f>
        <v/>
      </c>
      <c r="B167" s="5"/>
      <c r="C167" s="6"/>
      <c r="D167" s="6"/>
      <c r="E167" s="7"/>
      <c r="F167" s="5"/>
      <c r="G167" s="5"/>
      <c r="H167" s="5"/>
      <c r="I167" s="5"/>
      <c r="J167" s="5"/>
      <c r="K167" s="6"/>
      <c r="L167" s="6"/>
      <c r="M167" s="6"/>
      <c r="N167" s="7"/>
      <c r="O167" s="6"/>
      <c r="P167" s="7"/>
      <c r="Q167" s="7"/>
      <c r="R167" s="8"/>
      <c r="S167" s="8"/>
      <c r="T167" s="8"/>
      <c r="U167" s="9" t="str">
        <f aca="true">IF(R167="","",IF(T167&lt;&gt;"",T167-R167,TODAY()-R167))</f>
        <v/>
      </c>
      <c r="V167" s="7"/>
      <c r="W167" s="6"/>
    </row>
    <row r="168" customFormat="false" ht="15" hidden="false" customHeight="false" outlineLevel="0" collapsed="false">
      <c r="A168" s="4" t="str">
        <f aca="false">IF(C168="","",IF(B168="","ISS",IFERROR(INDEX(Projects!$B$6:$B$20,MATCH(B168,Projects!$A$6:$A$20,0)),"ISS"))&amp;"-"&amp;TEXT(COUNTIF($B$6:B168,B168),"000"))</f>
        <v/>
      </c>
      <c r="B168" s="5"/>
      <c r="C168" s="6"/>
      <c r="D168" s="6"/>
      <c r="E168" s="7"/>
      <c r="F168" s="5"/>
      <c r="G168" s="5"/>
      <c r="H168" s="5"/>
      <c r="I168" s="5"/>
      <c r="J168" s="5"/>
      <c r="K168" s="6"/>
      <c r="L168" s="6"/>
      <c r="M168" s="6"/>
      <c r="N168" s="7"/>
      <c r="O168" s="6"/>
      <c r="P168" s="7"/>
      <c r="Q168" s="7"/>
      <c r="R168" s="8"/>
      <c r="S168" s="8"/>
      <c r="T168" s="8"/>
      <c r="U168" s="9" t="str">
        <f aca="true">IF(R168="","",IF(T168&lt;&gt;"",T168-R168,TODAY()-R168))</f>
        <v/>
      </c>
      <c r="V168" s="7"/>
      <c r="W168" s="6"/>
    </row>
    <row r="169" customFormat="false" ht="15" hidden="false" customHeight="false" outlineLevel="0" collapsed="false">
      <c r="A169" s="4" t="str">
        <f aca="false">IF(C169="","",IF(B169="","ISS",IFERROR(INDEX(Projects!$B$6:$B$20,MATCH(B169,Projects!$A$6:$A$20,0)),"ISS"))&amp;"-"&amp;TEXT(COUNTIF($B$6:B169,B169),"000"))</f>
        <v/>
      </c>
      <c r="B169" s="5"/>
      <c r="C169" s="6"/>
      <c r="D169" s="6"/>
      <c r="E169" s="7"/>
      <c r="F169" s="5"/>
      <c r="G169" s="5"/>
      <c r="H169" s="5"/>
      <c r="I169" s="5"/>
      <c r="J169" s="5"/>
      <c r="K169" s="6"/>
      <c r="L169" s="6"/>
      <c r="M169" s="6"/>
      <c r="N169" s="7"/>
      <c r="O169" s="6"/>
      <c r="P169" s="7"/>
      <c r="Q169" s="7"/>
      <c r="R169" s="8"/>
      <c r="S169" s="8"/>
      <c r="T169" s="8"/>
      <c r="U169" s="9" t="str">
        <f aca="true">IF(R169="","",IF(T169&lt;&gt;"",T169-R169,TODAY()-R169))</f>
        <v/>
      </c>
      <c r="V169" s="7"/>
      <c r="W169" s="6"/>
    </row>
    <row r="170" customFormat="false" ht="15" hidden="false" customHeight="false" outlineLevel="0" collapsed="false">
      <c r="A170" s="4" t="str">
        <f aca="false">IF(C170="","",IF(B170="","ISS",IFERROR(INDEX(Projects!$B$6:$B$20,MATCH(B170,Projects!$A$6:$A$20,0)),"ISS"))&amp;"-"&amp;TEXT(COUNTIF($B$6:B170,B170),"000"))</f>
        <v/>
      </c>
      <c r="B170" s="5"/>
      <c r="C170" s="6"/>
      <c r="D170" s="6"/>
      <c r="E170" s="7"/>
      <c r="F170" s="5"/>
      <c r="G170" s="5"/>
      <c r="H170" s="5"/>
      <c r="I170" s="5"/>
      <c r="J170" s="5"/>
      <c r="K170" s="6"/>
      <c r="L170" s="6"/>
      <c r="M170" s="6"/>
      <c r="N170" s="7"/>
      <c r="O170" s="6"/>
      <c r="P170" s="7"/>
      <c r="Q170" s="7"/>
      <c r="R170" s="8"/>
      <c r="S170" s="8"/>
      <c r="T170" s="8"/>
      <c r="U170" s="9" t="str">
        <f aca="true">IF(R170="","",IF(T170&lt;&gt;"",T170-R170,TODAY()-R170))</f>
        <v/>
      </c>
      <c r="V170" s="7"/>
      <c r="W170" s="6"/>
    </row>
    <row r="171" customFormat="false" ht="15" hidden="false" customHeight="false" outlineLevel="0" collapsed="false">
      <c r="A171" s="4" t="str">
        <f aca="false">IF(C171="","",IF(B171="","ISS",IFERROR(INDEX(Projects!$B$6:$B$20,MATCH(B171,Projects!$A$6:$A$20,0)),"ISS"))&amp;"-"&amp;TEXT(COUNTIF($B$6:B171,B171),"000"))</f>
        <v/>
      </c>
      <c r="B171" s="5"/>
      <c r="C171" s="6"/>
      <c r="D171" s="6"/>
      <c r="E171" s="7"/>
      <c r="F171" s="5"/>
      <c r="G171" s="5"/>
      <c r="H171" s="5"/>
      <c r="I171" s="5"/>
      <c r="J171" s="5"/>
      <c r="K171" s="6"/>
      <c r="L171" s="6"/>
      <c r="M171" s="6"/>
      <c r="N171" s="7"/>
      <c r="O171" s="6"/>
      <c r="P171" s="7"/>
      <c r="Q171" s="7"/>
      <c r="R171" s="8"/>
      <c r="S171" s="8"/>
      <c r="T171" s="8"/>
      <c r="U171" s="9" t="str">
        <f aca="true">IF(R171="","",IF(T171&lt;&gt;"",T171-R171,TODAY()-R171))</f>
        <v/>
      </c>
      <c r="V171" s="7"/>
      <c r="W171" s="6"/>
    </row>
    <row r="172" customFormat="false" ht="15" hidden="false" customHeight="false" outlineLevel="0" collapsed="false">
      <c r="A172" s="4" t="str">
        <f aca="false">IF(C172="","",IF(B172="","ISS",IFERROR(INDEX(Projects!$B$6:$B$20,MATCH(B172,Projects!$A$6:$A$20,0)),"ISS"))&amp;"-"&amp;TEXT(COUNTIF($B$6:B172,B172),"000"))</f>
        <v/>
      </c>
      <c r="B172" s="5"/>
      <c r="C172" s="6"/>
      <c r="D172" s="6"/>
      <c r="E172" s="7"/>
      <c r="F172" s="5"/>
      <c r="G172" s="5"/>
      <c r="H172" s="5"/>
      <c r="I172" s="5"/>
      <c r="J172" s="5"/>
      <c r="K172" s="6"/>
      <c r="L172" s="6"/>
      <c r="M172" s="6"/>
      <c r="N172" s="7"/>
      <c r="O172" s="6"/>
      <c r="P172" s="7"/>
      <c r="Q172" s="7"/>
      <c r="R172" s="8"/>
      <c r="S172" s="8"/>
      <c r="T172" s="8"/>
      <c r="U172" s="9" t="str">
        <f aca="true">IF(R172="","",IF(T172&lt;&gt;"",T172-R172,TODAY()-R172))</f>
        <v/>
      </c>
      <c r="V172" s="7"/>
      <c r="W172" s="6"/>
    </row>
    <row r="173" customFormat="false" ht="15" hidden="false" customHeight="false" outlineLevel="0" collapsed="false">
      <c r="A173" s="4" t="str">
        <f aca="false">IF(C173="","",IF(B173="","ISS",IFERROR(INDEX(Projects!$B$6:$B$20,MATCH(B173,Projects!$A$6:$A$20,0)),"ISS"))&amp;"-"&amp;TEXT(COUNTIF($B$6:B173,B173),"000"))</f>
        <v/>
      </c>
      <c r="B173" s="5"/>
      <c r="C173" s="6"/>
      <c r="D173" s="6"/>
      <c r="E173" s="7"/>
      <c r="F173" s="5"/>
      <c r="G173" s="5"/>
      <c r="H173" s="5"/>
      <c r="I173" s="5"/>
      <c r="J173" s="5"/>
      <c r="K173" s="6"/>
      <c r="L173" s="6"/>
      <c r="M173" s="6"/>
      <c r="N173" s="7"/>
      <c r="O173" s="6"/>
      <c r="P173" s="7"/>
      <c r="Q173" s="7"/>
      <c r="R173" s="8"/>
      <c r="S173" s="8"/>
      <c r="T173" s="8"/>
      <c r="U173" s="9" t="str">
        <f aca="true">IF(R173="","",IF(T173&lt;&gt;"",T173-R173,TODAY()-R173))</f>
        <v/>
      </c>
      <c r="V173" s="7"/>
      <c r="W173" s="6"/>
    </row>
    <row r="174" customFormat="false" ht="15" hidden="false" customHeight="false" outlineLevel="0" collapsed="false">
      <c r="A174" s="4" t="str">
        <f aca="false">IF(C174="","",IF(B174="","ISS",IFERROR(INDEX(Projects!$B$6:$B$20,MATCH(B174,Projects!$A$6:$A$20,0)),"ISS"))&amp;"-"&amp;TEXT(COUNTIF($B$6:B174,B174),"000"))</f>
        <v/>
      </c>
      <c r="B174" s="5"/>
      <c r="C174" s="6"/>
      <c r="D174" s="6"/>
      <c r="E174" s="7"/>
      <c r="F174" s="5"/>
      <c r="G174" s="5"/>
      <c r="H174" s="5"/>
      <c r="I174" s="5"/>
      <c r="J174" s="5"/>
      <c r="K174" s="6"/>
      <c r="L174" s="6"/>
      <c r="M174" s="6"/>
      <c r="N174" s="7"/>
      <c r="O174" s="6"/>
      <c r="P174" s="7"/>
      <c r="Q174" s="7"/>
      <c r="R174" s="8"/>
      <c r="S174" s="8"/>
      <c r="T174" s="8"/>
      <c r="U174" s="9" t="str">
        <f aca="true">IF(R174="","",IF(T174&lt;&gt;"",T174-R174,TODAY()-R174))</f>
        <v/>
      </c>
      <c r="V174" s="7"/>
      <c r="W174" s="6"/>
    </row>
    <row r="175" customFormat="false" ht="15" hidden="false" customHeight="false" outlineLevel="0" collapsed="false">
      <c r="A175" s="4" t="str">
        <f aca="false">IF(C175="","",IF(B175="","ISS",IFERROR(INDEX(Projects!$B$6:$B$20,MATCH(B175,Projects!$A$6:$A$20,0)),"ISS"))&amp;"-"&amp;TEXT(COUNTIF($B$6:B175,B175),"000"))</f>
        <v/>
      </c>
      <c r="B175" s="5"/>
      <c r="C175" s="6"/>
      <c r="D175" s="6"/>
      <c r="E175" s="7"/>
      <c r="F175" s="5"/>
      <c r="G175" s="5"/>
      <c r="H175" s="5"/>
      <c r="I175" s="5"/>
      <c r="J175" s="5"/>
      <c r="K175" s="6"/>
      <c r="L175" s="6"/>
      <c r="M175" s="6"/>
      <c r="N175" s="7"/>
      <c r="O175" s="6"/>
      <c r="P175" s="7"/>
      <c r="Q175" s="7"/>
      <c r="R175" s="8"/>
      <c r="S175" s="8"/>
      <c r="T175" s="8"/>
      <c r="U175" s="9" t="str">
        <f aca="true">IF(R175="","",IF(T175&lt;&gt;"",T175-R175,TODAY()-R175))</f>
        <v/>
      </c>
      <c r="V175" s="7"/>
      <c r="W175" s="6"/>
    </row>
    <row r="176" customFormat="false" ht="15" hidden="false" customHeight="false" outlineLevel="0" collapsed="false">
      <c r="A176" s="4" t="str">
        <f aca="false">IF(C176="","",IF(B176="","ISS",IFERROR(INDEX(Projects!$B$6:$B$20,MATCH(B176,Projects!$A$6:$A$20,0)),"ISS"))&amp;"-"&amp;TEXT(COUNTIF($B$6:B176,B176),"000"))</f>
        <v/>
      </c>
      <c r="B176" s="5"/>
      <c r="C176" s="6"/>
      <c r="D176" s="6"/>
      <c r="E176" s="7"/>
      <c r="F176" s="5"/>
      <c r="G176" s="5"/>
      <c r="H176" s="5"/>
      <c r="I176" s="5"/>
      <c r="J176" s="5"/>
      <c r="K176" s="6"/>
      <c r="L176" s="6"/>
      <c r="M176" s="6"/>
      <c r="N176" s="7"/>
      <c r="O176" s="6"/>
      <c r="P176" s="7"/>
      <c r="Q176" s="7"/>
      <c r="R176" s="8"/>
      <c r="S176" s="8"/>
      <c r="T176" s="8"/>
      <c r="U176" s="9" t="str">
        <f aca="true">IF(R176="","",IF(T176&lt;&gt;"",T176-R176,TODAY()-R176))</f>
        <v/>
      </c>
      <c r="V176" s="7"/>
      <c r="W176" s="6"/>
    </row>
    <row r="177" customFormat="false" ht="15" hidden="false" customHeight="false" outlineLevel="0" collapsed="false">
      <c r="A177" s="4" t="str">
        <f aca="false">IF(C177="","",IF(B177="","ISS",IFERROR(INDEX(Projects!$B$6:$B$20,MATCH(B177,Projects!$A$6:$A$20,0)),"ISS"))&amp;"-"&amp;TEXT(COUNTIF($B$6:B177,B177),"000"))</f>
        <v/>
      </c>
      <c r="B177" s="5"/>
      <c r="C177" s="6"/>
      <c r="D177" s="6"/>
      <c r="E177" s="7"/>
      <c r="F177" s="5"/>
      <c r="G177" s="5"/>
      <c r="H177" s="5"/>
      <c r="I177" s="5"/>
      <c r="J177" s="5"/>
      <c r="K177" s="6"/>
      <c r="L177" s="6"/>
      <c r="M177" s="6"/>
      <c r="N177" s="7"/>
      <c r="O177" s="6"/>
      <c r="P177" s="7"/>
      <c r="Q177" s="7"/>
      <c r="R177" s="8"/>
      <c r="S177" s="8"/>
      <c r="T177" s="8"/>
      <c r="U177" s="9" t="str">
        <f aca="true">IF(R177="","",IF(T177&lt;&gt;"",T177-R177,TODAY()-R177))</f>
        <v/>
      </c>
      <c r="V177" s="7"/>
      <c r="W177" s="6"/>
    </row>
    <row r="178" customFormat="false" ht="15" hidden="false" customHeight="false" outlineLevel="0" collapsed="false">
      <c r="A178" s="4" t="str">
        <f aca="false">IF(C178="","",IF(B178="","ISS",IFERROR(INDEX(Projects!$B$6:$B$20,MATCH(B178,Projects!$A$6:$A$20,0)),"ISS"))&amp;"-"&amp;TEXT(COUNTIF($B$6:B178,B178),"000"))</f>
        <v/>
      </c>
      <c r="B178" s="5"/>
      <c r="C178" s="6"/>
      <c r="D178" s="6"/>
      <c r="E178" s="7"/>
      <c r="F178" s="5"/>
      <c r="G178" s="5"/>
      <c r="H178" s="5"/>
      <c r="I178" s="5"/>
      <c r="J178" s="5"/>
      <c r="K178" s="6"/>
      <c r="L178" s="6"/>
      <c r="M178" s="6"/>
      <c r="N178" s="7"/>
      <c r="O178" s="6"/>
      <c r="P178" s="7"/>
      <c r="Q178" s="7"/>
      <c r="R178" s="8"/>
      <c r="S178" s="8"/>
      <c r="T178" s="8"/>
      <c r="U178" s="9" t="str">
        <f aca="true">IF(R178="","",IF(T178&lt;&gt;"",T178-R178,TODAY()-R178))</f>
        <v/>
      </c>
      <c r="V178" s="7"/>
      <c r="W178" s="6"/>
    </row>
    <row r="179" customFormat="false" ht="15" hidden="false" customHeight="false" outlineLevel="0" collapsed="false">
      <c r="A179" s="4" t="str">
        <f aca="false">IF(C179="","",IF(B179="","ISS",IFERROR(INDEX(Projects!$B$6:$B$20,MATCH(B179,Projects!$A$6:$A$20,0)),"ISS"))&amp;"-"&amp;TEXT(COUNTIF($B$6:B179,B179),"000"))</f>
        <v/>
      </c>
      <c r="B179" s="5"/>
      <c r="C179" s="6"/>
      <c r="D179" s="6"/>
      <c r="E179" s="7"/>
      <c r="F179" s="5"/>
      <c r="G179" s="5"/>
      <c r="H179" s="5"/>
      <c r="I179" s="5"/>
      <c r="J179" s="5"/>
      <c r="K179" s="6"/>
      <c r="L179" s="6"/>
      <c r="M179" s="6"/>
      <c r="N179" s="7"/>
      <c r="O179" s="6"/>
      <c r="P179" s="7"/>
      <c r="Q179" s="7"/>
      <c r="R179" s="8"/>
      <c r="S179" s="8"/>
      <c r="T179" s="8"/>
      <c r="U179" s="9" t="str">
        <f aca="true">IF(R179="","",IF(T179&lt;&gt;"",T179-R179,TODAY()-R179))</f>
        <v/>
      </c>
      <c r="V179" s="7"/>
      <c r="W179" s="6"/>
    </row>
    <row r="180" customFormat="false" ht="15" hidden="false" customHeight="false" outlineLevel="0" collapsed="false">
      <c r="A180" s="4" t="str">
        <f aca="false">IF(C180="","",IF(B180="","ISS",IFERROR(INDEX(Projects!$B$6:$B$20,MATCH(B180,Projects!$A$6:$A$20,0)),"ISS"))&amp;"-"&amp;TEXT(COUNTIF($B$6:B180,B180),"000"))</f>
        <v/>
      </c>
      <c r="B180" s="5"/>
      <c r="C180" s="6"/>
      <c r="D180" s="6"/>
      <c r="E180" s="7"/>
      <c r="F180" s="5"/>
      <c r="G180" s="5"/>
      <c r="H180" s="5"/>
      <c r="I180" s="5"/>
      <c r="J180" s="5"/>
      <c r="K180" s="6"/>
      <c r="L180" s="6"/>
      <c r="M180" s="6"/>
      <c r="N180" s="7"/>
      <c r="O180" s="6"/>
      <c r="P180" s="7"/>
      <c r="Q180" s="7"/>
      <c r="R180" s="8"/>
      <c r="S180" s="8"/>
      <c r="T180" s="8"/>
      <c r="U180" s="9" t="str">
        <f aca="true">IF(R180="","",IF(T180&lt;&gt;"",T180-R180,TODAY()-R180))</f>
        <v/>
      </c>
      <c r="V180" s="7"/>
      <c r="W180" s="6"/>
    </row>
    <row r="181" customFormat="false" ht="15" hidden="false" customHeight="false" outlineLevel="0" collapsed="false">
      <c r="A181" s="4" t="str">
        <f aca="false">IF(C181="","",IF(B181="","ISS",IFERROR(INDEX(Projects!$B$6:$B$20,MATCH(B181,Projects!$A$6:$A$20,0)),"ISS"))&amp;"-"&amp;TEXT(COUNTIF($B$6:B181,B181),"000"))</f>
        <v/>
      </c>
      <c r="B181" s="5"/>
      <c r="C181" s="6"/>
      <c r="D181" s="6"/>
      <c r="E181" s="7"/>
      <c r="F181" s="5"/>
      <c r="G181" s="5"/>
      <c r="H181" s="5"/>
      <c r="I181" s="5"/>
      <c r="J181" s="5"/>
      <c r="K181" s="6"/>
      <c r="L181" s="6"/>
      <c r="M181" s="6"/>
      <c r="N181" s="7"/>
      <c r="O181" s="6"/>
      <c r="P181" s="7"/>
      <c r="Q181" s="7"/>
      <c r="R181" s="8"/>
      <c r="S181" s="8"/>
      <c r="T181" s="8"/>
      <c r="U181" s="9" t="str">
        <f aca="true">IF(R181="","",IF(T181&lt;&gt;"",T181-R181,TODAY()-R181))</f>
        <v/>
      </c>
      <c r="V181" s="7"/>
      <c r="W181" s="6"/>
    </row>
    <row r="182" customFormat="false" ht="15" hidden="false" customHeight="false" outlineLevel="0" collapsed="false">
      <c r="A182" s="4" t="str">
        <f aca="false">IF(C182="","",IF(B182="","ISS",IFERROR(INDEX(Projects!$B$6:$B$20,MATCH(B182,Projects!$A$6:$A$20,0)),"ISS"))&amp;"-"&amp;TEXT(COUNTIF($B$6:B182,B182),"000"))</f>
        <v/>
      </c>
      <c r="B182" s="5"/>
      <c r="C182" s="6"/>
      <c r="D182" s="6"/>
      <c r="E182" s="7"/>
      <c r="F182" s="5"/>
      <c r="G182" s="5"/>
      <c r="H182" s="5"/>
      <c r="I182" s="5"/>
      <c r="J182" s="5"/>
      <c r="K182" s="6"/>
      <c r="L182" s="6"/>
      <c r="M182" s="6"/>
      <c r="N182" s="7"/>
      <c r="O182" s="6"/>
      <c r="P182" s="7"/>
      <c r="Q182" s="7"/>
      <c r="R182" s="8"/>
      <c r="S182" s="8"/>
      <c r="T182" s="8"/>
      <c r="U182" s="9" t="str">
        <f aca="true">IF(R182="","",IF(T182&lt;&gt;"",T182-R182,TODAY()-R182))</f>
        <v/>
      </c>
      <c r="V182" s="7"/>
      <c r="W182" s="6"/>
    </row>
    <row r="183" customFormat="false" ht="15" hidden="false" customHeight="false" outlineLevel="0" collapsed="false">
      <c r="A183" s="4" t="str">
        <f aca="false">IF(C183="","",IF(B183="","ISS",IFERROR(INDEX(Projects!$B$6:$B$20,MATCH(B183,Projects!$A$6:$A$20,0)),"ISS"))&amp;"-"&amp;TEXT(COUNTIF($B$6:B183,B183),"000"))</f>
        <v/>
      </c>
      <c r="B183" s="5"/>
      <c r="C183" s="6"/>
      <c r="D183" s="6"/>
      <c r="E183" s="7"/>
      <c r="F183" s="5"/>
      <c r="G183" s="5"/>
      <c r="H183" s="5"/>
      <c r="I183" s="5"/>
      <c r="J183" s="5"/>
      <c r="K183" s="6"/>
      <c r="L183" s="6"/>
      <c r="M183" s="6"/>
      <c r="N183" s="7"/>
      <c r="O183" s="6"/>
      <c r="P183" s="7"/>
      <c r="Q183" s="7"/>
      <c r="R183" s="8"/>
      <c r="S183" s="8"/>
      <c r="T183" s="8"/>
      <c r="U183" s="9" t="str">
        <f aca="true">IF(R183="","",IF(T183&lt;&gt;"",T183-R183,TODAY()-R183))</f>
        <v/>
      </c>
      <c r="V183" s="7"/>
      <c r="W183" s="6"/>
    </row>
    <row r="184" customFormat="false" ht="15" hidden="false" customHeight="false" outlineLevel="0" collapsed="false">
      <c r="A184" s="4" t="str">
        <f aca="false">IF(C184="","",IF(B184="","ISS",IFERROR(INDEX(Projects!$B$6:$B$20,MATCH(B184,Projects!$A$6:$A$20,0)),"ISS"))&amp;"-"&amp;TEXT(COUNTIF($B$6:B184,B184),"000"))</f>
        <v/>
      </c>
      <c r="B184" s="5"/>
      <c r="C184" s="6"/>
      <c r="D184" s="6"/>
      <c r="E184" s="7"/>
      <c r="F184" s="5"/>
      <c r="G184" s="5"/>
      <c r="H184" s="5"/>
      <c r="I184" s="5"/>
      <c r="J184" s="5"/>
      <c r="K184" s="6"/>
      <c r="L184" s="6"/>
      <c r="M184" s="6"/>
      <c r="N184" s="7"/>
      <c r="O184" s="6"/>
      <c r="P184" s="7"/>
      <c r="Q184" s="7"/>
      <c r="R184" s="8"/>
      <c r="S184" s="8"/>
      <c r="T184" s="8"/>
      <c r="U184" s="9" t="str">
        <f aca="true">IF(R184="","",IF(T184&lt;&gt;"",T184-R184,TODAY()-R184))</f>
        <v/>
      </c>
      <c r="V184" s="7"/>
      <c r="W184" s="6"/>
    </row>
    <row r="185" customFormat="false" ht="15" hidden="false" customHeight="false" outlineLevel="0" collapsed="false">
      <c r="A185" s="4" t="str">
        <f aca="false">IF(C185="","",IF(B185="","ISS",IFERROR(INDEX(Projects!$B$6:$B$20,MATCH(B185,Projects!$A$6:$A$20,0)),"ISS"))&amp;"-"&amp;TEXT(COUNTIF($B$6:B185,B185),"000"))</f>
        <v/>
      </c>
      <c r="B185" s="5"/>
      <c r="C185" s="6"/>
      <c r="D185" s="6"/>
      <c r="E185" s="7"/>
      <c r="F185" s="5"/>
      <c r="G185" s="5"/>
      <c r="H185" s="5"/>
      <c r="I185" s="5"/>
      <c r="J185" s="5"/>
      <c r="K185" s="6"/>
      <c r="L185" s="6"/>
      <c r="M185" s="6"/>
      <c r="N185" s="7"/>
      <c r="O185" s="6"/>
      <c r="P185" s="7"/>
      <c r="Q185" s="7"/>
      <c r="R185" s="8"/>
      <c r="S185" s="8"/>
      <c r="T185" s="8"/>
      <c r="U185" s="9" t="str">
        <f aca="true">IF(R185="","",IF(T185&lt;&gt;"",T185-R185,TODAY()-R185))</f>
        <v/>
      </c>
      <c r="V185" s="7"/>
      <c r="W185" s="6"/>
    </row>
    <row r="186" customFormat="false" ht="15" hidden="false" customHeight="false" outlineLevel="0" collapsed="false">
      <c r="A186" s="4" t="str">
        <f aca="false">IF(C186="","",IF(B186="","ISS",IFERROR(INDEX(Projects!$B$6:$B$20,MATCH(B186,Projects!$A$6:$A$20,0)),"ISS"))&amp;"-"&amp;TEXT(COUNTIF($B$6:B186,B186),"000"))</f>
        <v/>
      </c>
      <c r="B186" s="5"/>
      <c r="C186" s="6"/>
      <c r="D186" s="6"/>
      <c r="E186" s="7"/>
      <c r="F186" s="5"/>
      <c r="G186" s="5"/>
      <c r="H186" s="5"/>
      <c r="I186" s="5"/>
      <c r="J186" s="5"/>
      <c r="K186" s="6"/>
      <c r="L186" s="6"/>
      <c r="M186" s="6"/>
      <c r="N186" s="7"/>
      <c r="O186" s="6"/>
      <c r="P186" s="7"/>
      <c r="Q186" s="7"/>
      <c r="R186" s="8"/>
      <c r="S186" s="8"/>
      <c r="T186" s="8"/>
      <c r="U186" s="9" t="str">
        <f aca="true">IF(R186="","",IF(T186&lt;&gt;"",T186-R186,TODAY()-R186))</f>
        <v/>
      </c>
      <c r="V186" s="7"/>
      <c r="W186" s="6"/>
    </row>
    <row r="187" customFormat="false" ht="15" hidden="false" customHeight="false" outlineLevel="0" collapsed="false">
      <c r="A187" s="4" t="str">
        <f aca="false">IF(C187="","",IF(B187="","ISS",IFERROR(INDEX(Projects!$B$6:$B$20,MATCH(B187,Projects!$A$6:$A$20,0)),"ISS"))&amp;"-"&amp;TEXT(COUNTIF($B$6:B187,B187),"000"))</f>
        <v/>
      </c>
      <c r="B187" s="5"/>
      <c r="C187" s="6"/>
      <c r="D187" s="6"/>
      <c r="E187" s="7"/>
      <c r="F187" s="5"/>
      <c r="G187" s="5"/>
      <c r="H187" s="5"/>
      <c r="I187" s="5"/>
      <c r="J187" s="5"/>
      <c r="K187" s="6"/>
      <c r="L187" s="6"/>
      <c r="M187" s="6"/>
      <c r="N187" s="7"/>
      <c r="O187" s="6"/>
      <c r="P187" s="7"/>
      <c r="Q187" s="7"/>
      <c r="R187" s="8"/>
      <c r="S187" s="8"/>
      <c r="T187" s="8"/>
      <c r="U187" s="9" t="str">
        <f aca="true">IF(R187="","",IF(T187&lt;&gt;"",T187-R187,TODAY()-R187))</f>
        <v/>
      </c>
      <c r="V187" s="7"/>
      <c r="W187" s="6"/>
    </row>
    <row r="188" customFormat="false" ht="15" hidden="false" customHeight="false" outlineLevel="0" collapsed="false">
      <c r="A188" s="4" t="str">
        <f aca="false">IF(C188="","",IF(B188="","ISS",IFERROR(INDEX(Projects!$B$6:$B$20,MATCH(B188,Projects!$A$6:$A$20,0)),"ISS"))&amp;"-"&amp;TEXT(COUNTIF($B$6:B188,B188),"000"))</f>
        <v/>
      </c>
      <c r="B188" s="5"/>
      <c r="C188" s="6"/>
      <c r="D188" s="6"/>
      <c r="E188" s="7"/>
      <c r="F188" s="5"/>
      <c r="G188" s="5"/>
      <c r="H188" s="5"/>
      <c r="I188" s="5"/>
      <c r="J188" s="5"/>
      <c r="K188" s="6"/>
      <c r="L188" s="6"/>
      <c r="M188" s="6"/>
      <c r="N188" s="7"/>
      <c r="O188" s="6"/>
      <c r="P188" s="7"/>
      <c r="Q188" s="7"/>
      <c r="R188" s="8"/>
      <c r="S188" s="8"/>
      <c r="T188" s="8"/>
      <c r="U188" s="9" t="str">
        <f aca="true">IF(R188="","",IF(T188&lt;&gt;"",T188-R188,TODAY()-R188))</f>
        <v/>
      </c>
      <c r="V188" s="7"/>
      <c r="W188" s="6"/>
    </row>
    <row r="189" customFormat="false" ht="15" hidden="false" customHeight="false" outlineLevel="0" collapsed="false">
      <c r="A189" s="4" t="str">
        <f aca="false">IF(C189="","",IF(B189="","ISS",IFERROR(INDEX(Projects!$B$6:$B$20,MATCH(B189,Projects!$A$6:$A$20,0)),"ISS"))&amp;"-"&amp;TEXT(COUNTIF($B$6:B189,B189),"000"))</f>
        <v/>
      </c>
      <c r="B189" s="5"/>
      <c r="C189" s="6"/>
      <c r="D189" s="6"/>
      <c r="E189" s="7"/>
      <c r="F189" s="5"/>
      <c r="G189" s="5"/>
      <c r="H189" s="5"/>
      <c r="I189" s="5"/>
      <c r="J189" s="5"/>
      <c r="K189" s="6"/>
      <c r="L189" s="6"/>
      <c r="M189" s="6"/>
      <c r="N189" s="7"/>
      <c r="O189" s="6"/>
      <c r="P189" s="7"/>
      <c r="Q189" s="7"/>
      <c r="R189" s="8"/>
      <c r="S189" s="8"/>
      <c r="T189" s="8"/>
      <c r="U189" s="9" t="str">
        <f aca="true">IF(R189="","",IF(T189&lt;&gt;"",T189-R189,TODAY()-R189))</f>
        <v/>
      </c>
      <c r="V189" s="7"/>
      <c r="W189" s="6"/>
    </row>
    <row r="190" customFormat="false" ht="15" hidden="false" customHeight="false" outlineLevel="0" collapsed="false">
      <c r="A190" s="4" t="str">
        <f aca="false">IF(C190="","",IF(B190="","ISS",IFERROR(INDEX(Projects!$B$6:$B$20,MATCH(B190,Projects!$A$6:$A$20,0)),"ISS"))&amp;"-"&amp;TEXT(COUNTIF($B$6:B190,B190),"000"))</f>
        <v/>
      </c>
      <c r="B190" s="5"/>
      <c r="C190" s="6"/>
      <c r="D190" s="6"/>
      <c r="E190" s="7"/>
      <c r="F190" s="5"/>
      <c r="G190" s="5"/>
      <c r="H190" s="5"/>
      <c r="I190" s="5"/>
      <c r="J190" s="5"/>
      <c r="K190" s="6"/>
      <c r="L190" s="6"/>
      <c r="M190" s="6"/>
      <c r="N190" s="7"/>
      <c r="O190" s="6"/>
      <c r="P190" s="7"/>
      <c r="Q190" s="7"/>
      <c r="R190" s="8"/>
      <c r="S190" s="8"/>
      <c r="T190" s="8"/>
      <c r="U190" s="9" t="str">
        <f aca="true">IF(R190="","",IF(T190&lt;&gt;"",T190-R190,TODAY()-R190))</f>
        <v/>
      </c>
      <c r="V190" s="7"/>
      <c r="W190" s="6"/>
    </row>
    <row r="191" customFormat="false" ht="15" hidden="false" customHeight="false" outlineLevel="0" collapsed="false">
      <c r="A191" s="4" t="str">
        <f aca="false">IF(C191="","",IF(B191="","ISS",IFERROR(INDEX(Projects!$B$6:$B$20,MATCH(B191,Projects!$A$6:$A$20,0)),"ISS"))&amp;"-"&amp;TEXT(COUNTIF($B$6:B191,B191),"000"))</f>
        <v/>
      </c>
      <c r="B191" s="5"/>
      <c r="C191" s="6"/>
      <c r="D191" s="6"/>
      <c r="E191" s="7"/>
      <c r="F191" s="5"/>
      <c r="G191" s="5"/>
      <c r="H191" s="5"/>
      <c r="I191" s="5"/>
      <c r="J191" s="5"/>
      <c r="K191" s="6"/>
      <c r="L191" s="6"/>
      <c r="M191" s="6"/>
      <c r="N191" s="7"/>
      <c r="O191" s="6"/>
      <c r="P191" s="7"/>
      <c r="Q191" s="7"/>
      <c r="R191" s="8"/>
      <c r="S191" s="8"/>
      <c r="T191" s="8"/>
      <c r="U191" s="9" t="str">
        <f aca="true">IF(R191="","",IF(T191&lt;&gt;"",T191-R191,TODAY()-R191))</f>
        <v/>
      </c>
      <c r="V191" s="7"/>
      <c r="W191" s="6"/>
    </row>
    <row r="192" customFormat="false" ht="15" hidden="false" customHeight="false" outlineLevel="0" collapsed="false">
      <c r="A192" s="4" t="str">
        <f aca="false">IF(C192="","",IF(B192="","ISS",IFERROR(INDEX(Projects!$B$6:$B$20,MATCH(B192,Projects!$A$6:$A$20,0)),"ISS"))&amp;"-"&amp;TEXT(COUNTIF($B$6:B192,B192),"000"))</f>
        <v/>
      </c>
      <c r="B192" s="5"/>
      <c r="C192" s="6"/>
      <c r="D192" s="6"/>
      <c r="E192" s="7"/>
      <c r="F192" s="5"/>
      <c r="G192" s="5"/>
      <c r="H192" s="5"/>
      <c r="I192" s="5"/>
      <c r="J192" s="5"/>
      <c r="K192" s="6"/>
      <c r="L192" s="6"/>
      <c r="M192" s="6"/>
      <c r="N192" s="7"/>
      <c r="O192" s="6"/>
      <c r="P192" s="7"/>
      <c r="Q192" s="7"/>
      <c r="R192" s="8"/>
      <c r="S192" s="8"/>
      <c r="T192" s="8"/>
      <c r="U192" s="9" t="str">
        <f aca="true">IF(R192="","",IF(T192&lt;&gt;"",T192-R192,TODAY()-R192))</f>
        <v/>
      </c>
      <c r="V192" s="7"/>
      <c r="W192" s="6"/>
    </row>
    <row r="193" customFormat="false" ht="15" hidden="false" customHeight="false" outlineLevel="0" collapsed="false">
      <c r="A193" s="4" t="str">
        <f aca="false">IF(C193="","",IF(B193="","ISS",IFERROR(INDEX(Projects!$B$6:$B$20,MATCH(B193,Projects!$A$6:$A$20,0)),"ISS"))&amp;"-"&amp;TEXT(COUNTIF($B$6:B193,B193),"000"))</f>
        <v/>
      </c>
      <c r="B193" s="5"/>
      <c r="C193" s="6"/>
      <c r="D193" s="6"/>
      <c r="E193" s="7"/>
      <c r="F193" s="5"/>
      <c r="G193" s="5"/>
      <c r="H193" s="5"/>
      <c r="I193" s="5"/>
      <c r="J193" s="5"/>
      <c r="K193" s="6"/>
      <c r="L193" s="6"/>
      <c r="M193" s="6"/>
      <c r="N193" s="7"/>
      <c r="O193" s="6"/>
      <c r="P193" s="7"/>
      <c r="Q193" s="7"/>
      <c r="R193" s="8"/>
      <c r="S193" s="8"/>
      <c r="T193" s="8"/>
      <c r="U193" s="9" t="str">
        <f aca="true">IF(R193="","",IF(T193&lt;&gt;"",T193-R193,TODAY()-R193))</f>
        <v/>
      </c>
      <c r="V193" s="7"/>
      <c r="W193" s="6"/>
    </row>
    <row r="194" customFormat="false" ht="15" hidden="false" customHeight="false" outlineLevel="0" collapsed="false">
      <c r="A194" s="4" t="str">
        <f aca="false">IF(C194="","",IF(B194="","ISS",IFERROR(INDEX(Projects!$B$6:$B$20,MATCH(B194,Projects!$A$6:$A$20,0)),"ISS"))&amp;"-"&amp;TEXT(COUNTIF($B$6:B194,B194),"000"))</f>
        <v/>
      </c>
      <c r="B194" s="5"/>
      <c r="C194" s="6"/>
      <c r="D194" s="6"/>
      <c r="E194" s="7"/>
      <c r="F194" s="5"/>
      <c r="G194" s="5"/>
      <c r="H194" s="5"/>
      <c r="I194" s="5"/>
      <c r="J194" s="5"/>
      <c r="K194" s="6"/>
      <c r="L194" s="6"/>
      <c r="M194" s="6"/>
      <c r="N194" s="7"/>
      <c r="O194" s="6"/>
      <c r="P194" s="7"/>
      <c r="Q194" s="7"/>
      <c r="R194" s="8"/>
      <c r="S194" s="8"/>
      <c r="T194" s="8"/>
      <c r="U194" s="9" t="str">
        <f aca="true">IF(R194="","",IF(T194&lt;&gt;"",T194-R194,TODAY()-R194))</f>
        <v/>
      </c>
      <c r="V194" s="7"/>
      <c r="W194" s="6"/>
    </row>
    <row r="195" customFormat="false" ht="15" hidden="false" customHeight="false" outlineLevel="0" collapsed="false">
      <c r="A195" s="4" t="str">
        <f aca="false">IF(C195="","",IF(B195="","ISS",IFERROR(INDEX(Projects!$B$6:$B$20,MATCH(B195,Projects!$A$6:$A$20,0)),"ISS"))&amp;"-"&amp;TEXT(COUNTIF($B$6:B195,B195),"000"))</f>
        <v/>
      </c>
      <c r="B195" s="5"/>
      <c r="C195" s="6"/>
      <c r="D195" s="6"/>
      <c r="E195" s="7"/>
      <c r="F195" s="5"/>
      <c r="G195" s="5"/>
      <c r="H195" s="5"/>
      <c r="I195" s="5"/>
      <c r="J195" s="5"/>
      <c r="K195" s="6"/>
      <c r="L195" s="6"/>
      <c r="M195" s="6"/>
      <c r="N195" s="7"/>
      <c r="O195" s="6"/>
      <c r="P195" s="7"/>
      <c r="Q195" s="7"/>
      <c r="R195" s="8"/>
      <c r="S195" s="8"/>
      <c r="T195" s="8"/>
      <c r="U195" s="9" t="str">
        <f aca="true">IF(R195="","",IF(T195&lt;&gt;"",T195-R195,TODAY()-R195))</f>
        <v/>
      </c>
      <c r="V195" s="7"/>
      <c r="W195" s="6"/>
    </row>
    <row r="196" customFormat="false" ht="15" hidden="false" customHeight="false" outlineLevel="0" collapsed="false">
      <c r="A196" s="4" t="str">
        <f aca="false">IF(C196="","",IF(B196="","ISS",IFERROR(INDEX(Projects!$B$6:$B$20,MATCH(B196,Projects!$A$6:$A$20,0)),"ISS"))&amp;"-"&amp;TEXT(COUNTIF($B$6:B196,B196),"000"))</f>
        <v/>
      </c>
      <c r="B196" s="5"/>
      <c r="C196" s="6"/>
      <c r="D196" s="6"/>
      <c r="E196" s="7"/>
      <c r="F196" s="5"/>
      <c r="G196" s="5"/>
      <c r="H196" s="5"/>
      <c r="I196" s="5"/>
      <c r="J196" s="5"/>
      <c r="K196" s="6"/>
      <c r="L196" s="6"/>
      <c r="M196" s="6"/>
      <c r="N196" s="7"/>
      <c r="O196" s="6"/>
      <c r="P196" s="7"/>
      <c r="Q196" s="7"/>
      <c r="R196" s="8"/>
      <c r="S196" s="8"/>
      <c r="T196" s="8"/>
      <c r="U196" s="9" t="str">
        <f aca="true">IF(R196="","",IF(T196&lt;&gt;"",T196-R196,TODAY()-R196))</f>
        <v/>
      </c>
      <c r="V196" s="7"/>
      <c r="W196" s="6"/>
    </row>
    <row r="197" customFormat="false" ht="15" hidden="false" customHeight="false" outlineLevel="0" collapsed="false">
      <c r="A197" s="4" t="str">
        <f aca="false">IF(C197="","",IF(B197="","ISS",IFERROR(INDEX(Projects!$B$6:$B$20,MATCH(B197,Projects!$A$6:$A$20,0)),"ISS"))&amp;"-"&amp;TEXT(COUNTIF($B$6:B197,B197),"000"))</f>
        <v/>
      </c>
      <c r="B197" s="5"/>
      <c r="C197" s="6"/>
      <c r="D197" s="6"/>
      <c r="E197" s="7"/>
      <c r="F197" s="5"/>
      <c r="G197" s="5"/>
      <c r="H197" s="5"/>
      <c r="I197" s="5"/>
      <c r="J197" s="5"/>
      <c r="K197" s="6"/>
      <c r="L197" s="6"/>
      <c r="M197" s="6"/>
      <c r="N197" s="7"/>
      <c r="O197" s="6"/>
      <c r="P197" s="7"/>
      <c r="Q197" s="7"/>
      <c r="R197" s="8"/>
      <c r="S197" s="8"/>
      <c r="T197" s="8"/>
      <c r="U197" s="9" t="str">
        <f aca="true">IF(R197="","",IF(T197&lt;&gt;"",T197-R197,TODAY()-R197))</f>
        <v/>
      </c>
      <c r="V197" s="7"/>
      <c r="W197" s="6"/>
    </row>
    <row r="198" customFormat="false" ht="15" hidden="false" customHeight="false" outlineLevel="0" collapsed="false">
      <c r="A198" s="4" t="str">
        <f aca="false">IF(C198="","",IF(B198="","ISS",IFERROR(INDEX(Projects!$B$6:$B$20,MATCH(B198,Projects!$A$6:$A$20,0)),"ISS"))&amp;"-"&amp;TEXT(COUNTIF($B$6:B198,B198),"000"))</f>
        <v/>
      </c>
      <c r="B198" s="5"/>
      <c r="C198" s="6"/>
      <c r="D198" s="6"/>
      <c r="E198" s="7"/>
      <c r="F198" s="5"/>
      <c r="G198" s="5"/>
      <c r="H198" s="5"/>
      <c r="I198" s="5"/>
      <c r="J198" s="5"/>
      <c r="K198" s="6"/>
      <c r="L198" s="6"/>
      <c r="M198" s="6"/>
      <c r="N198" s="7"/>
      <c r="O198" s="6"/>
      <c r="P198" s="7"/>
      <c r="Q198" s="7"/>
      <c r="R198" s="8"/>
      <c r="S198" s="8"/>
      <c r="T198" s="8"/>
      <c r="U198" s="9" t="str">
        <f aca="true">IF(R198="","",IF(T198&lt;&gt;"",T198-R198,TODAY()-R198))</f>
        <v/>
      </c>
      <c r="V198" s="7"/>
      <c r="W198" s="6"/>
    </row>
    <row r="199" customFormat="false" ht="15" hidden="false" customHeight="false" outlineLevel="0" collapsed="false">
      <c r="A199" s="4" t="str">
        <f aca="false">IF(C199="","",IF(B199="","ISS",IFERROR(INDEX(Projects!$B$6:$B$20,MATCH(B199,Projects!$A$6:$A$20,0)),"ISS"))&amp;"-"&amp;TEXT(COUNTIF($B$6:B199,B199),"000"))</f>
        <v/>
      </c>
      <c r="B199" s="5"/>
      <c r="C199" s="6"/>
      <c r="D199" s="6"/>
      <c r="E199" s="7"/>
      <c r="F199" s="5"/>
      <c r="G199" s="5"/>
      <c r="H199" s="5"/>
      <c r="I199" s="5"/>
      <c r="J199" s="5"/>
      <c r="K199" s="6"/>
      <c r="L199" s="6"/>
      <c r="M199" s="6"/>
      <c r="N199" s="7"/>
      <c r="O199" s="6"/>
      <c r="P199" s="7"/>
      <c r="Q199" s="7"/>
      <c r="R199" s="8"/>
      <c r="S199" s="8"/>
      <c r="T199" s="8"/>
      <c r="U199" s="9" t="str">
        <f aca="true">IF(R199="","",IF(T199&lt;&gt;"",T199-R199,TODAY()-R199))</f>
        <v/>
      </c>
      <c r="V199" s="7"/>
      <c r="W199" s="6"/>
    </row>
    <row r="200" customFormat="false" ht="15" hidden="false" customHeight="false" outlineLevel="0" collapsed="false">
      <c r="A200" s="4" t="str">
        <f aca="false">IF(C200="","",IF(B200="","ISS",IFERROR(INDEX(Projects!$B$6:$B$20,MATCH(B200,Projects!$A$6:$A$20,0)),"ISS"))&amp;"-"&amp;TEXT(COUNTIF($B$6:B200,B200),"000"))</f>
        <v/>
      </c>
      <c r="B200" s="5"/>
      <c r="C200" s="6"/>
      <c r="D200" s="6"/>
      <c r="E200" s="7"/>
      <c r="F200" s="5"/>
      <c r="G200" s="5"/>
      <c r="H200" s="5"/>
      <c r="I200" s="5"/>
      <c r="J200" s="5"/>
      <c r="K200" s="6"/>
      <c r="L200" s="6"/>
      <c r="M200" s="6"/>
      <c r="N200" s="7"/>
      <c r="O200" s="6"/>
      <c r="P200" s="7"/>
      <c r="Q200" s="7"/>
      <c r="R200" s="8"/>
      <c r="S200" s="8"/>
      <c r="T200" s="8"/>
      <c r="U200" s="9" t="str">
        <f aca="true">IF(R200="","",IF(T200&lt;&gt;"",T200-R200,TODAY()-R200))</f>
        <v/>
      </c>
      <c r="V200" s="7"/>
      <c r="W200" s="6"/>
    </row>
    <row r="201" customFormat="false" ht="15" hidden="false" customHeight="false" outlineLevel="0" collapsed="false">
      <c r="A201" s="4" t="str">
        <f aca="false">IF(C201="","",IF(B201="","ISS",IFERROR(INDEX(Projects!$B$6:$B$20,MATCH(B201,Projects!$A$6:$A$20,0)),"ISS"))&amp;"-"&amp;TEXT(COUNTIF($B$6:B201,B201),"000"))</f>
        <v/>
      </c>
      <c r="B201" s="5"/>
      <c r="C201" s="6"/>
      <c r="D201" s="6"/>
      <c r="E201" s="7"/>
      <c r="F201" s="5"/>
      <c r="G201" s="5"/>
      <c r="H201" s="5"/>
      <c r="I201" s="5"/>
      <c r="J201" s="5"/>
      <c r="K201" s="6"/>
      <c r="L201" s="6"/>
      <c r="M201" s="6"/>
      <c r="N201" s="7"/>
      <c r="O201" s="6"/>
      <c r="P201" s="7"/>
      <c r="Q201" s="7"/>
      <c r="R201" s="8"/>
      <c r="S201" s="8"/>
      <c r="T201" s="8"/>
      <c r="U201" s="9" t="str">
        <f aca="true">IF(R201="","",IF(T201&lt;&gt;"",T201-R201,TODAY()-R201))</f>
        <v/>
      </c>
      <c r="V201" s="7"/>
      <c r="W201" s="6"/>
    </row>
    <row r="202" customFormat="false" ht="15" hidden="false" customHeight="false" outlineLevel="0" collapsed="false">
      <c r="A202" s="4" t="str">
        <f aca="false">IF(C202="","",IF(B202="","ISS",IFERROR(INDEX(Projects!$B$6:$B$20,MATCH(B202,Projects!$A$6:$A$20,0)),"ISS"))&amp;"-"&amp;TEXT(COUNTIF($B$6:B202,B202),"000"))</f>
        <v/>
      </c>
      <c r="B202" s="5"/>
      <c r="C202" s="6"/>
      <c r="D202" s="6"/>
      <c r="E202" s="7"/>
      <c r="F202" s="5"/>
      <c r="G202" s="5"/>
      <c r="H202" s="5"/>
      <c r="I202" s="5"/>
      <c r="J202" s="5"/>
      <c r="K202" s="6"/>
      <c r="L202" s="6"/>
      <c r="M202" s="6"/>
      <c r="N202" s="7"/>
      <c r="O202" s="6"/>
      <c r="P202" s="7"/>
      <c r="Q202" s="7"/>
      <c r="R202" s="8"/>
      <c r="S202" s="8"/>
      <c r="T202" s="8"/>
      <c r="U202" s="9" t="str">
        <f aca="true">IF(R202="","",IF(T202&lt;&gt;"",T202-R202,TODAY()-R202))</f>
        <v/>
      </c>
      <c r="V202" s="7"/>
      <c r="W202" s="6"/>
    </row>
    <row r="203" customFormat="false" ht="15" hidden="false" customHeight="false" outlineLevel="0" collapsed="false">
      <c r="A203" s="4" t="str">
        <f aca="false">IF(C203="","",IF(B203="","ISS",IFERROR(INDEX(Projects!$B$6:$B$20,MATCH(B203,Projects!$A$6:$A$20,0)),"ISS"))&amp;"-"&amp;TEXT(COUNTIF($B$6:B203,B203),"000"))</f>
        <v/>
      </c>
      <c r="B203" s="5"/>
      <c r="C203" s="6"/>
      <c r="D203" s="6"/>
      <c r="E203" s="7"/>
      <c r="F203" s="5"/>
      <c r="G203" s="5"/>
      <c r="H203" s="5"/>
      <c r="I203" s="5"/>
      <c r="J203" s="5"/>
      <c r="K203" s="6"/>
      <c r="L203" s="6"/>
      <c r="M203" s="6"/>
      <c r="N203" s="7"/>
      <c r="O203" s="6"/>
      <c r="P203" s="7"/>
      <c r="Q203" s="7"/>
      <c r="R203" s="8"/>
      <c r="S203" s="8"/>
      <c r="T203" s="8"/>
      <c r="U203" s="9" t="str">
        <f aca="true">IF(R203="","",IF(T203&lt;&gt;"",T203-R203,TODAY()-R203))</f>
        <v/>
      </c>
      <c r="V203" s="7"/>
      <c r="W203" s="6"/>
    </row>
    <row r="204" customFormat="false" ht="15" hidden="false" customHeight="false" outlineLevel="0" collapsed="false">
      <c r="A204" s="4" t="str">
        <f aca="false">IF(C204="","",IF(B204="","ISS",IFERROR(INDEX(Projects!$B$6:$B$20,MATCH(B204,Projects!$A$6:$A$20,0)),"ISS"))&amp;"-"&amp;TEXT(COUNTIF($B$6:B204,B204),"000"))</f>
        <v/>
      </c>
      <c r="B204" s="5"/>
      <c r="C204" s="6"/>
      <c r="D204" s="6"/>
      <c r="E204" s="7"/>
      <c r="F204" s="5"/>
      <c r="G204" s="5"/>
      <c r="H204" s="5"/>
      <c r="I204" s="5"/>
      <c r="J204" s="5"/>
      <c r="K204" s="6"/>
      <c r="L204" s="6"/>
      <c r="M204" s="6"/>
      <c r="N204" s="7"/>
      <c r="O204" s="6"/>
      <c r="P204" s="7"/>
      <c r="Q204" s="7"/>
      <c r="R204" s="8"/>
      <c r="S204" s="8"/>
      <c r="T204" s="8"/>
      <c r="U204" s="9" t="str">
        <f aca="true">IF(R204="","",IF(T204&lt;&gt;"",T204-R204,TODAY()-R204))</f>
        <v/>
      </c>
      <c r="V204" s="7"/>
      <c r="W204" s="6"/>
    </row>
    <row r="205" customFormat="false" ht="15" hidden="false" customHeight="false" outlineLevel="0" collapsed="false">
      <c r="A205" s="4" t="str">
        <f aca="false">IF(C205="","",IF(B205="","ISS",IFERROR(INDEX(Projects!$B$6:$B$20,MATCH(B205,Projects!$A$6:$A$20,0)),"ISS"))&amp;"-"&amp;TEXT(COUNTIF($B$6:B205,B205),"000"))</f>
        <v/>
      </c>
      <c r="B205" s="5"/>
      <c r="C205" s="6"/>
      <c r="D205" s="6"/>
      <c r="E205" s="7"/>
      <c r="F205" s="5"/>
      <c r="G205" s="5"/>
      <c r="H205" s="5"/>
      <c r="I205" s="5"/>
      <c r="J205" s="5"/>
      <c r="K205" s="6"/>
      <c r="L205" s="6"/>
      <c r="M205" s="6"/>
      <c r="N205" s="7"/>
      <c r="O205" s="6"/>
      <c r="P205" s="7"/>
      <c r="Q205" s="7"/>
      <c r="R205" s="8"/>
      <c r="S205" s="8"/>
      <c r="T205" s="8"/>
      <c r="U205" s="9" t="str">
        <f aca="true">IF(R205="","",IF(T205&lt;&gt;"",T205-R205,TODAY()-R205))</f>
        <v/>
      </c>
      <c r="V205" s="7"/>
      <c r="W205" s="6"/>
    </row>
  </sheetData>
  <autoFilter ref="A5:W205"/>
  <conditionalFormatting sqref="H6:H205">
    <cfRule type="cellIs" priority="2" operator="equal" aboveAverage="0" equalAverage="0" bottom="0" percent="0" rank="0" text="" dxfId="6">
      <formula>"Critical"</formula>
    </cfRule>
    <cfRule type="cellIs" priority="3" operator="equal" aboveAverage="0" equalAverage="0" bottom="0" percent="0" rank="0" text="" dxfId="7">
      <formula>"High"</formula>
    </cfRule>
    <cfRule type="cellIs" priority="4" operator="equal" aboveAverage="0" equalAverage="0" bottom="0" percent="0" rank="0" text="" dxfId="8">
      <formula>"Medium"</formula>
    </cfRule>
    <cfRule type="cellIs" priority="5" operator="equal" aboveAverage="0" equalAverage="0" bottom="0" percent="0" rank="0" text="" dxfId="9">
      <formula>"Low"</formula>
    </cfRule>
  </conditionalFormatting>
  <conditionalFormatting sqref="J6:J205">
    <cfRule type="cellIs" priority="6" operator="equal" aboveAverage="0" equalAverage="0" bottom="0" percent="0" rank="0" text="" dxfId="10">
      <formula>"Closed"</formula>
    </cfRule>
    <cfRule type="cellIs" priority="7" operator="equal" aboveAverage="0" equalAverage="0" bottom="0" percent="0" rank="0" text="" dxfId="9">
      <formula>"Resolved"</formula>
    </cfRule>
    <cfRule type="cellIs" priority="8" operator="equal" aboveAverage="0" equalAverage="0" bottom="0" percent="0" rank="0" text="" dxfId="11">
      <formula>"Reopened"</formula>
    </cfRule>
    <cfRule type="cellIs" priority="9" operator="equal" aboveAverage="0" equalAverage="0" bottom="0" percent="0" rank="0" text="" dxfId="12">
      <formula>"In Progress"</formula>
    </cfRule>
  </conditionalFormatting>
  <conditionalFormatting sqref="S6:S205">
    <cfRule type="expression" priority="10" aboveAverage="0" equalAverage="0" bottom="0" percent="0" rank="0" text="" dxfId="13">
      <formula>AND(S6&lt;&gt;"",S6&lt;TODAY(),T6="",J6&lt;&gt;"Closed",J6&lt;&gt;"Resolved",J6&lt;&gt;"Won't Fix")</formula>
    </cfRule>
  </conditionalFormatting>
  <conditionalFormatting sqref="B6:B205">
    <cfRule type="expression" priority="11" aboveAverage="0" equalAverage="0" bottom="0" percent="0" rank="0" text="" dxfId="14">
      <formula>AND(C6&lt;&gt;"",B6="")</formula>
    </cfRule>
  </conditionalFormatting>
  <dataValidations count="7">
    <dataValidation allowBlank="true" error="Please pick a value from the list" errorStyle="stop" operator="between" showDropDown="false" showErrorMessage="true" showInputMessage="false" sqref="B6:B205" type="list">
      <formula1>Projects!$A$6:$A$20</formula1>
      <formula2>0</formula2>
    </dataValidation>
    <dataValidation allowBlank="true" error="Please pick a value from the list" errorStyle="stop" operator="between" showDropDown="false" showErrorMessage="true" showInputMessage="false" sqref="F6:F205" type="list">
      <formula1>Lists!$A$2:$A$11</formula1>
      <formula2>0</formula2>
    </dataValidation>
    <dataValidation allowBlank="true" error="Please pick a value from the list" errorStyle="stop" operator="between" showDropDown="false" showErrorMessage="true" showInputMessage="false" sqref="G6:G205" type="list">
      <formula1>Lists!$B$2:$B$14</formula1>
      <formula2>0</formula2>
    </dataValidation>
    <dataValidation allowBlank="true" error="Please pick a value from the list" errorStyle="stop" operator="between" showDropDown="false" showErrorMessage="true" showInputMessage="false" sqref="H6:H205" type="list">
      <formula1>Lists!$C$2:$C$10</formula1>
      <formula2>0</formula2>
    </dataValidation>
    <dataValidation allowBlank="true" error="Please pick a value from the list" errorStyle="stop" operator="between" showDropDown="false" showErrorMessage="true" showInputMessage="false" sqref="I6:I205" type="list">
      <formula1>Lists!$D$2:$D$10</formula1>
      <formula2>0</formula2>
    </dataValidation>
    <dataValidation allowBlank="true" error="Please pick a value from the list" errorStyle="stop" operator="between" showDropDown="false" showErrorMessage="true" showInputMessage="false" sqref="J6:J205" type="list">
      <formula1>Lists!$E$2:$E$15</formula1>
      <formula2>0</formula2>
    </dataValidation>
    <dataValidation allowBlank="true" error="Enter a valid date" errorStyle="stop" operator="greaterThan" showDropDown="false" showErrorMessage="true" showInputMessage="false" sqref="R6:T205"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4"/>
    <col collapsed="false" customWidth="true" hidden="false" outlineLevel="0" max="4" min="4" style="0" width="22"/>
    <col collapsed="false" customWidth="true" hidden="false" outlineLevel="0" max="5" min="5" style="0" width="10"/>
    <col collapsed="false" customWidth="true" hidden="false" outlineLevel="0" max="6" min="6" style="0" width="3"/>
    <col collapsed="false" customWidth="true" hidden="false" outlineLevel="0" max="7" min="7" style="0" width="26"/>
    <col collapsed="false" customWidth="true" hidden="false" outlineLevel="0" max="9" min="8" style="0" width="10"/>
    <col collapsed="false" customWidth="true" hidden="false" outlineLevel="0" max="10" min="10" style="0" width="14"/>
    <col collapsed="false" customWidth="true" hidden="false" outlineLevel="0" max="11" min="11" style="0" width="10"/>
    <col collapsed="false" customWidth="true" hidden="false" outlineLevel="0" max="12" min="12" style="0" width="12"/>
  </cols>
  <sheetData>
    <row r="1" customFormat="false" ht="19.7" hidden="false" customHeight="false" outlineLevel="0" collapsed="false">
      <c r="A1" s="1" t="s">
        <v>43</v>
      </c>
    </row>
    <row r="2" customFormat="false" ht="15" hidden="false" customHeight="false" outlineLevel="0" collapsed="false">
      <c r="A2" s="2" t="s">
        <v>44</v>
      </c>
    </row>
    <row r="3" customFormat="false" ht="15" hidden="false" customHeight="false" outlineLevel="0" collapsed="false">
      <c r="A3" s="10" t="s">
        <v>45</v>
      </c>
      <c r="B3" s="11" t="s">
        <v>46</v>
      </c>
      <c r="C3" s="11"/>
      <c r="D3" s="12" t="str">
        <f aca="false">IF(B3="All Projects","*",B3)</f>
        <v>*</v>
      </c>
    </row>
    <row r="5" customFormat="false" ht="30" hidden="false" customHeight="true" outlineLevel="0" collapsed="false">
      <c r="A5" s="3" t="s">
        <v>47</v>
      </c>
      <c r="B5" s="3" t="s">
        <v>48</v>
      </c>
      <c r="G5" s="3" t="s">
        <v>49</v>
      </c>
      <c r="H5" s="3" t="s">
        <v>50</v>
      </c>
      <c r="I5" s="3" t="s">
        <v>34</v>
      </c>
      <c r="J5" s="3" t="s">
        <v>51</v>
      </c>
      <c r="K5" s="3" t="s">
        <v>52</v>
      </c>
      <c r="L5" s="3" t="s">
        <v>53</v>
      </c>
    </row>
    <row r="6" customFormat="false" ht="15" hidden="false" customHeight="false" outlineLevel="0" collapsed="false">
      <c r="A6" s="13" t="s">
        <v>54</v>
      </c>
      <c r="B6" s="14" t="n">
        <f aca="false">COUNTIFS('Issue Log'!$B$6:$B$205,$D$3,'Issue Log'!$C$6:$C$205,"&lt;&gt;")</f>
        <v>1</v>
      </c>
      <c r="G6" s="13" t="str">
        <f aca="false">IF(Projects!A6="","",Projects!A6)</f>
        <v>My Mobile App</v>
      </c>
      <c r="H6" s="14" t="n">
        <f aca="false">IF($G6="","",COUNTIFS('Issue Log'!$B$6:$B$205,$G6,'Issue Log'!$C$6:$C$205,"&lt;&gt;"))</f>
        <v>1</v>
      </c>
      <c r="I6" s="14" t="n">
        <f aca="false">IF($G6="","",SUMPRODUCT((('Issue Log'!$B$6:$B$205=$G6)*('Issue Log'!$C$6:$C$205&lt;&gt;""))*('Issue Log'!$J$6:$J$205&lt;&gt;"Resolved")*('Issue Log'!$J$6:$J$205&lt;&gt;"Closed")*('Issue Log'!$J$6:$J$205&lt;&gt;"Won't Fix")))</f>
        <v>1</v>
      </c>
      <c r="J6" s="14" t="n">
        <f aca="false">IF($G6="","",SUMPRODUCT((('Issue Log'!$B$6:$B$205=$G6)*('Issue Log'!$C$6:$C$205&lt;&gt;""))*(('Issue Log'!$H$6:$H$205="Critical")+('Issue Log'!$H$6:$H$205="High"))*('Issue Log'!$J$6:$J$205&lt;&gt;"Resolved")*('Issue Log'!$J$6:$J$205&lt;&gt;"Closed")*('Issue Log'!$J$6:$J$205&lt;&gt;"Won't Fix")))</f>
        <v>1</v>
      </c>
      <c r="K6" s="14" t="n">
        <f aca="true">IF($G6="","",SUMPRODUCT((('Issue Log'!$B$6:$B$205=$G6)*('Issue Log'!$C$6:$C$205&lt;&gt;""))*('Issue Log'!$S$6:$S$205&lt;&gt;"")*('Issue Log'!$S$6:$S$205&lt;TODAY())*('Issue Log'!$T$6:$T$205="")*('Issue Log'!$J$6:$J$205&lt;&gt;"Resolved")*('Issue Log'!$J$6:$J$205&lt;&gt;"Closed")*('Issue Log'!$J$6:$J$205&lt;&gt;"Won't Fix")))</f>
        <v>0</v>
      </c>
      <c r="L6" s="15" t="n">
        <f aca="false">IF($G6="","",IF(H6=0,0,(COUNTIFS('Issue Log'!$B$6:$B$205,$G6,'Issue Log'!$J$6:$J$205,"Resolved")+COUNTIFS('Issue Log'!$B$6:$B$205,$G6,'Issue Log'!$J$6:$J$205,"Closed"))/H6))</f>
        <v>0</v>
      </c>
    </row>
    <row r="7" customFormat="false" ht="15" hidden="false" customHeight="false" outlineLevel="0" collapsed="false">
      <c r="A7" s="13" t="s">
        <v>55</v>
      </c>
      <c r="B7" s="14" t="n">
        <f aca="false">SUMPRODUCT(((('Issue Log'!$B$6:$B$205=$B$3)+($B$3="All Projects"))&gt;0)*('Issue Log'!$C$6:$C$205&lt;&gt;"")*('Issue Log'!$J$6:$J$205&lt;&gt;"Resolved")*('Issue Log'!$J$6:$J$205&lt;&gt;"Closed")*('Issue Log'!$J$6:$J$205&lt;&gt;"Won't Fix"))</f>
        <v>1</v>
      </c>
      <c r="G7" s="13" t="str">
        <f aca="false">IF(Projects!A7="","",Projects!A7)</f>
        <v/>
      </c>
      <c r="H7" s="14" t="str">
        <f aca="false">IF($G7="","",COUNTIFS('Issue Log'!$B$6:$B$205,$G7,'Issue Log'!$C$6:$C$205,"&lt;&gt;"))</f>
        <v/>
      </c>
      <c r="I7" s="14" t="str">
        <f aca="false">IF($G7="","",SUMPRODUCT((('Issue Log'!$B$6:$B$205=$G7)*('Issue Log'!$C$6:$C$205&lt;&gt;""))*('Issue Log'!$J$6:$J$205&lt;&gt;"Resolved")*('Issue Log'!$J$6:$J$205&lt;&gt;"Closed")*('Issue Log'!$J$6:$J$205&lt;&gt;"Won't Fix")))</f>
        <v/>
      </c>
      <c r="J7" s="14" t="str">
        <f aca="false">IF($G7="","",SUMPRODUCT((('Issue Log'!$B$6:$B$205=$G7)*('Issue Log'!$C$6:$C$205&lt;&gt;""))*(('Issue Log'!$H$6:$H$205="Critical")+('Issue Log'!$H$6:$H$205="High"))*('Issue Log'!$J$6:$J$205&lt;&gt;"Resolved")*('Issue Log'!$J$6:$J$205&lt;&gt;"Closed")*('Issue Log'!$J$6:$J$205&lt;&gt;"Won't Fix")))</f>
        <v/>
      </c>
      <c r="K7" s="14" t="str">
        <f aca="true">IF($G7="","",SUMPRODUCT((('Issue Log'!$B$6:$B$205=$G7)*('Issue Log'!$C$6:$C$205&lt;&gt;""))*('Issue Log'!$S$6:$S$205&lt;&gt;"")*('Issue Log'!$S$6:$S$205&lt;TODAY())*('Issue Log'!$T$6:$T$205="")*('Issue Log'!$J$6:$J$205&lt;&gt;"Resolved")*('Issue Log'!$J$6:$J$205&lt;&gt;"Closed")*('Issue Log'!$J$6:$J$205&lt;&gt;"Won't Fix")))</f>
        <v/>
      </c>
      <c r="L7" s="15" t="str">
        <f aca="false">IF($G7="","",IF(H7=0,0,(COUNTIFS('Issue Log'!$B$6:$B$205,$G7,'Issue Log'!$J$6:$J$205,"Resolved")+COUNTIFS('Issue Log'!$B$6:$B$205,$G7,'Issue Log'!$J$6:$J$205,"Closed"))/H7))</f>
        <v/>
      </c>
    </row>
    <row r="8" customFormat="false" ht="15" hidden="false" customHeight="false" outlineLevel="0" collapsed="false">
      <c r="A8" s="13" t="s">
        <v>56</v>
      </c>
      <c r="B8" s="14" t="n">
        <f aca="false">SUMPRODUCT(((('Issue Log'!$B$6:$B$205=$B$3)+($B$3="All Projects"))&gt;0)*(('Issue Log'!$H$6:$H$205="Critical")+('Issue Log'!$H$6:$H$205="High"))*('Issue Log'!$C$6:$C$205&lt;&gt;"")*('Issue Log'!$J$6:$J$205&lt;&gt;"Resolved")*('Issue Log'!$J$6:$J$205&lt;&gt;"Closed")*('Issue Log'!$J$6:$J$205&lt;&gt;"Won't Fix"))</f>
        <v>1</v>
      </c>
      <c r="G8" s="13" t="str">
        <f aca="false">IF(Projects!A8="","",Projects!A8)</f>
        <v/>
      </c>
      <c r="H8" s="14" t="str">
        <f aca="false">IF($G8="","",COUNTIFS('Issue Log'!$B$6:$B$205,$G8,'Issue Log'!$C$6:$C$205,"&lt;&gt;"))</f>
        <v/>
      </c>
      <c r="I8" s="14" t="str">
        <f aca="false">IF($G8="","",SUMPRODUCT((('Issue Log'!$B$6:$B$205=$G8)*('Issue Log'!$C$6:$C$205&lt;&gt;""))*('Issue Log'!$J$6:$J$205&lt;&gt;"Resolved")*('Issue Log'!$J$6:$J$205&lt;&gt;"Closed")*('Issue Log'!$J$6:$J$205&lt;&gt;"Won't Fix")))</f>
        <v/>
      </c>
      <c r="J8" s="14" t="str">
        <f aca="false">IF($G8="","",SUMPRODUCT((('Issue Log'!$B$6:$B$205=$G8)*('Issue Log'!$C$6:$C$205&lt;&gt;""))*(('Issue Log'!$H$6:$H$205="Critical")+('Issue Log'!$H$6:$H$205="High"))*('Issue Log'!$J$6:$J$205&lt;&gt;"Resolved")*('Issue Log'!$J$6:$J$205&lt;&gt;"Closed")*('Issue Log'!$J$6:$J$205&lt;&gt;"Won't Fix")))</f>
        <v/>
      </c>
      <c r="K8" s="14" t="str">
        <f aca="true">IF($G8="","",SUMPRODUCT((('Issue Log'!$B$6:$B$205=$G8)*('Issue Log'!$C$6:$C$205&lt;&gt;""))*('Issue Log'!$S$6:$S$205&lt;&gt;"")*('Issue Log'!$S$6:$S$205&lt;TODAY())*('Issue Log'!$T$6:$T$205="")*('Issue Log'!$J$6:$J$205&lt;&gt;"Resolved")*('Issue Log'!$J$6:$J$205&lt;&gt;"Closed")*('Issue Log'!$J$6:$J$205&lt;&gt;"Won't Fix")))</f>
        <v/>
      </c>
      <c r="L8" s="15" t="str">
        <f aca="false">IF($G8="","",IF(H8=0,0,(COUNTIFS('Issue Log'!$B$6:$B$205,$G8,'Issue Log'!$J$6:$J$205,"Resolved")+COUNTIFS('Issue Log'!$B$6:$B$205,$G8,'Issue Log'!$J$6:$J$205,"Closed"))/H8))</f>
        <v/>
      </c>
    </row>
    <row r="9" customFormat="false" ht="15" hidden="false" customHeight="false" outlineLevel="0" collapsed="false">
      <c r="A9" s="13" t="s">
        <v>57</v>
      </c>
      <c r="B9" s="14" t="n">
        <f aca="true">SUMPRODUCT(((('Issue Log'!$B$6:$B$205=$B$3)+($B$3="All Projects"))&gt;0)*('Issue Log'!$S$6:$S$205&lt;&gt;"")*('Issue Log'!$S$6:$S$205&lt;TODAY())*('Issue Log'!$T$6:$T$205="")*('Issue Log'!$C$6:$C$205&lt;&gt;"")*('Issue Log'!$J$6:$J$205&lt;&gt;"Resolved")*('Issue Log'!$J$6:$J$205&lt;&gt;"Closed")*('Issue Log'!$J$6:$J$205&lt;&gt;"Won't Fix"))</f>
        <v>0</v>
      </c>
      <c r="G9" s="13" t="str">
        <f aca="false">IF(Projects!A9="","",Projects!A9)</f>
        <v/>
      </c>
      <c r="H9" s="14" t="str">
        <f aca="false">IF($G9="","",COUNTIFS('Issue Log'!$B$6:$B$205,$G9,'Issue Log'!$C$6:$C$205,"&lt;&gt;"))</f>
        <v/>
      </c>
      <c r="I9" s="14" t="str">
        <f aca="false">IF($G9="","",SUMPRODUCT((('Issue Log'!$B$6:$B$205=$G9)*('Issue Log'!$C$6:$C$205&lt;&gt;""))*('Issue Log'!$J$6:$J$205&lt;&gt;"Resolved")*('Issue Log'!$J$6:$J$205&lt;&gt;"Closed")*('Issue Log'!$J$6:$J$205&lt;&gt;"Won't Fix")))</f>
        <v/>
      </c>
      <c r="J9" s="14" t="str">
        <f aca="false">IF($G9="","",SUMPRODUCT((('Issue Log'!$B$6:$B$205=$G9)*('Issue Log'!$C$6:$C$205&lt;&gt;""))*(('Issue Log'!$H$6:$H$205="Critical")+('Issue Log'!$H$6:$H$205="High"))*('Issue Log'!$J$6:$J$205&lt;&gt;"Resolved")*('Issue Log'!$J$6:$J$205&lt;&gt;"Closed")*('Issue Log'!$J$6:$J$205&lt;&gt;"Won't Fix")))</f>
        <v/>
      </c>
      <c r="K9" s="14" t="str">
        <f aca="true">IF($G9="","",SUMPRODUCT((('Issue Log'!$B$6:$B$205=$G9)*('Issue Log'!$C$6:$C$205&lt;&gt;""))*('Issue Log'!$S$6:$S$205&lt;&gt;"")*('Issue Log'!$S$6:$S$205&lt;TODAY())*('Issue Log'!$T$6:$T$205="")*('Issue Log'!$J$6:$J$205&lt;&gt;"Resolved")*('Issue Log'!$J$6:$J$205&lt;&gt;"Closed")*('Issue Log'!$J$6:$J$205&lt;&gt;"Won't Fix")))</f>
        <v/>
      </c>
      <c r="L9" s="15" t="str">
        <f aca="false">IF($G9="","",IF(H9=0,0,(COUNTIFS('Issue Log'!$B$6:$B$205,$G9,'Issue Log'!$J$6:$J$205,"Resolved")+COUNTIFS('Issue Log'!$B$6:$B$205,$G9,'Issue Log'!$J$6:$J$205,"Closed"))/H9))</f>
        <v/>
      </c>
    </row>
    <row r="10" customFormat="false" ht="15" hidden="false" customHeight="false" outlineLevel="0" collapsed="false">
      <c r="A10" s="13" t="s">
        <v>58</v>
      </c>
      <c r="B10" s="14" t="n">
        <f aca="false">COUNTIFS('Issue Log'!$B$6:$B$205,$D$3,'Issue Log'!$J$6:$J$205,"Reopened")</f>
        <v>0</v>
      </c>
      <c r="G10" s="13" t="str">
        <f aca="false">IF(Projects!A10="","",Projects!A10)</f>
        <v/>
      </c>
      <c r="H10" s="14" t="str">
        <f aca="false">IF($G10="","",COUNTIFS('Issue Log'!$B$6:$B$205,$G10,'Issue Log'!$C$6:$C$205,"&lt;&gt;"))</f>
        <v/>
      </c>
      <c r="I10" s="14" t="str">
        <f aca="false">IF($G10="","",SUMPRODUCT((('Issue Log'!$B$6:$B$205=$G10)*('Issue Log'!$C$6:$C$205&lt;&gt;""))*('Issue Log'!$J$6:$J$205&lt;&gt;"Resolved")*('Issue Log'!$J$6:$J$205&lt;&gt;"Closed")*('Issue Log'!$J$6:$J$205&lt;&gt;"Won't Fix")))</f>
        <v/>
      </c>
      <c r="J10" s="14" t="str">
        <f aca="false">IF($G10="","",SUMPRODUCT((('Issue Log'!$B$6:$B$205=$G10)*('Issue Log'!$C$6:$C$205&lt;&gt;""))*(('Issue Log'!$H$6:$H$205="Critical")+('Issue Log'!$H$6:$H$205="High"))*('Issue Log'!$J$6:$J$205&lt;&gt;"Resolved")*('Issue Log'!$J$6:$J$205&lt;&gt;"Closed")*('Issue Log'!$J$6:$J$205&lt;&gt;"Won't Fix")))</f>
        <v/>
      </c>
      <c r="K10" s="14" t="str">
        <f aca="true">IF($G10="","",SUMPRODUCT((('Issue Log'!$B$6:$B$205=$G10)*('Issue Log'!$C$6:$C$205&lt;&gt;""))*('Issue Log'!$S$6:$S$205&lt;&gt;"")*('Issue Log'!$S$6:$S$205&lt;TODAY())*('Issue Log'!$T$6:$T$205="")*('Issue Log'!$J$6:$J$205&lt;&gt;"Resolved")*('Issue Log'!$J$6:$J$205&lt;&gt;"Closed")*('Issue Log'!$J$6:$J$205&lt;&gt;"Won't Fix")))</f>
        <v/>
      </c>
      <c r="L10" s="15" t="str">
        <f aca="false">IF($G10="","",IF(H10=0,0,(COUNTIFS('Issue Log'!$B$6:$B$205,$G10,'Issue Log'!$J$6:$J$205,"Resolved")+COUNTIFS('Issue Log'!$B$6:$B$205,$G10,'Issue Log'!$J$6:$J$205,"Closed"))/H10))</f>
        <v/>
      </c>
    </row>
    <row r="11" customFormat="false" ht="15" hidden="false" customHeight="false" outlineLevel="0" collapsed="false">
      <c r="A11" s="13" t="s">
        <v>59</v>
      </c>
      <c r="B11" s="16" t="n">
        <f aca="false">IFERROR(AVERAGEIFS('Issue Log'!$U$6:$U$205,'Issue Log'!$T$6:$T$205,"&lt;&gt;",'Issue Log'!$B$6:$B$205,$D$3),0)</f>
        <v>0</v>
      </c>
      <c r="G11" s="13" t="str">
        <f aca="false">IF(Projects!A11="","",Projects!A11)</f>
        <v/>
      </c>
      <c r="H11" s="14" t="str">
        <f aca="false">IF($G11="","",COUNTIFS('Issue Log'!$B$6:$B$205,$G11,'Issue Log'!$C$6:$C$205,"&lt;&gt;"))</f>
        <v/>
      </c>
      <c r="I11" s="14" t="str">
        <f aca="false">IF($G11="","",SUMPRODUCT((('Issue Log'!$B$6:$B$205=$G11)*('Issue Log'!$C$6:$C$205&lt;&gt;""))*('Issue Log'!$J$6:$J$205&lt;&gt;"Resolved")*('Issue Log'!$J$6:$J$205&lt;&gt;"Closed")*('Issue Log'!$J$6:$J$205&lt;&gt;"Won't Fix")))</f>
        <v/>
      </c>
      <c r="J11" s="14" t="str">
        <f aca="false">IF($G11="","",SUMPRODUCT((('Issue Log'!$B$6:$B$205=$G11)*('Issue Log'!$C$6:$C$205&lt;&gt;""))*(('Issue Log'!$H$6:$H$205="Critical")+('Issue Log'!$H$6:$H$205="High"))*('Issue Log'!$J$6:$J$205&lt;&gt;"Resolved")*('Issue Log'!$J$6:$J$205&lt;&gt;"Closed")*('Issue Log'!$J$6:$J$205&lt;&gt;"Won't Fix")))</f>
        <v/>
      </c>
      <c r="K11" s="14" t="str">
        <f aca="true">IF($G11="","",SUMPRODUCT((('Issue Log'!$B$6:$B$205=$G11)*('Issue Log'!$C$6:$C$205&lt;&gt;""))*('Issue Log'!$S$6:$S$205&lt;&gt;"")*('Issue Log'!$S$6:$S$205&lt;TODAY())*('Issue Log'!$T$6:$T$205="")*('Issue Log'!$J$6:$J$205&lt;&gt;"Resolved")*('Issue Log'!$J$6:$J$205&lt;&gt;"Closed")*('Issue Log'!$J$6:$J$205&lt;&gt;"Won't Fix")))</f>
        <v/>
      </c>
      <c r="L11" s="15" t="str">
        <f aca="false">IF($G11="","",IF(H11=0,0,(COUNTIFS('Issue Log'!$B$6:$B$205,$G11,'Issue Log'!$J$6:$J$205,"Resolved")+COUNTIFS('Issue Log'!$B$6:$B$205,$G11,'Issue Log'!$J$6:$J$205,"Closed"))/H11))</f>
        <v/>
      </c>
    </row>
    <row r="12" customFormat="false" ht="15" hidden="false" customHeight="false" outlineLevel="0" collapsed="false">
      <c r="A12" s="13" t="s">
        <v>60</v>
      </c>
      <c r="B12" s="15" t="n">
        <f aca="false">IF(B6=0,0,(COUNTIFS('Issue Log'!$B$6:$B$205,$D$3,'Issue Log'!$J$6:$J$205,"Resolved")+COUNTIFS('Issue Log'!$B$6:$B$205,$D$3,'Issue Log'!$J$6:$J$205,"Closed"))/B6)</f>
        <v>0</v>
      </c>
      <c r="G12" s="13" t="str">
        <f aca="false">IF(Projects!A12="","",Projects!A12)</f>
        <v/>
      </c>
      <c r="H12" s="14" t="str">
        <f aca="false">IF($G12="","",COUNTIFS('Issue Log'!$B$6:$B$205,$G12,'Issue Log'!$C$6:$C$205,"&lt;&gt;"))</f>
        <v/>
      </c>
      <c r="I12" s="14" t="str">
        <f aca="false">IF($G12="","",SUMPRODUCT((('Issue Log'!$B$6:$B$205=$G12)*('Issue Log'!$C$6:$C$205&lt;&gt;""))*('Issue Log'!$J$6:$J$205&lt;&gt;"Resolved")*('Issue Log'!$J$6:$J$205&lt;&gt;"Closed")*('Issue Log'!$J$6:$J$205&lt;&gt;"Won't Fix")))</f>
        <v/>
      </c>
      <c r="J12" s="14" t="str">
        <f aca="false">IF($G12="","",SUMPRODUCT((('Issue Log'!$B$6:$B$205=$G12)*('Issue Log'!$C$6:$C$205&lt;&gt;""))*(('Issue Log'!$H$6:$H$205="Critical")+('Issue Log'!$H$6:$H$205="High"))*('Issue Log'!$J$6:$J$205&lt;&gt;"Resolved")*('Issue Log'!$J$6:$J$205&lt;&gt;"Closed")*('Issue Log'!$J$6:$J$205&lt;&gt;"Won't Fix")))</f>
        <v/>
      </c>
      <c r="K12" s="14" t="str">
        <f aca="true">IF($G12="","",SUMPRODUCT((('Issue Log'!$B$6:$B$205=$G12)*('Issue Log'!$C$6:$C$205&lt;&gt;""))*('Issue Log'!$S$6:$S$205&lt;&gt;"")*('Issue Log'!$S$6:$S$205&lt;TODAY())*('Issue Log'!$T$6:$T$205="")*('Issue Log'!$J$6:$J$205&lt;&gt;"Resolved")*('Issue Log'!$J$6:$J$205&lt;&gt;"Closed")*('Issue Log'!$J$6:$J$205&lt;&gt;"Won't Fix")))</f>
        <v/>
      </c>
      <c r="L12" s="15" t="str">
        <f aca="false">IF($G12="","",IF(H12=0,0,(COUNTIFS('Issue Log'!$B$6:$B$205,$G12,'Issue Log'!$J$6:$J$205,"Resolved")+COUNTIFS('Issue Log'!$B$6:$B$205,$G12,'Issue Log'!$J$6:$J$205,"Closed"))/H12))</f>
        <v/>
      </c>
    </row>
    <row r="13" customFormat="false" ht="15" hidden="false" customHeight="false" outlineLevel="0" collapsed="false">
      <c r="G13" s="13" t="str">
        <f aca="false">IF(Projects!A13="","",Projects!A13)</f>
        <v/>
      </c>
      <c r="H13" s="14" t="str">
        <f aca="false">IF($G13="","",COUNTIFS('Issue Log'!$B$6:$B$205,$G13,'Issue Log'!$C$6:$C$205,"&lt;&gt;"))</f>
        <v/>
      </c>
      <c r="I13" s="14" t="str">
        <f aca="false">IF($G13="","",SUMPRODUCT((('Issue Log'!$B$6:$B$205=$G13)*('Issue Log'!$C$6:$C$205&lt;&gt;""))*('Issue Log'!$J$6:$J$205&lt;&gt;"Resolved")*('Issue Log'!$J$6:$J$205&lt;&gt;"Closed")*('Issue Log'!$J$6:$J$205&lt;&gt;"Won't Fix")))</f>
        <v/>
      </c>
      <c r="J13" s="14" t="str">
        <f aca="false">IF($G13="","",SUMPRODUCT((('Issue Log'!$B$6:$B$205=$G13)*('Issue Log'!$C$6:$C$205&lt;&gt;""))*(('Issue Log'!$H$6:$H$205="Critical")+('Issue Log'!$H$6:$H$205="High"))*('Issue Log'!$J$6:$J$205&lt;&gt;"Resolved")*('Issue Log'!$J$6:$J$205&lt;&gt;"Closed")*('Issue Log'!$J$6:$J$205&lt;&gt;"Won't Fix")))</f>
        <v/>
      </c>
      <c r="K13" s="14" t="str">
        <f aca="true">IF($G13="","",SUMPRODUCT((('Issue Log'!$B$6:$B$205=$G13)*('Issue Log'!$C$6:$C$205&lt;&gt;""))*('Issue Log'!$S$6:$S$205&lt;&gt;"")*('Issue Log'!$S$6:$S$205&lt;TODAY())*('Issue Log'!$T$6:$T$205="")*('Issue Log'!$J$6:$J$205&lt;&gt;"Resolved")*('Issue Log'!$J$6:$J$205&lt;&gt;"Closed")*('Issue Log'!$J$6:$J$205&lt;&gt;"Won't Fix")))</f>
        <v/>
      </c>
      <c r="L13" s="15" t="str">
        <f aca="false">IF($G13="","",IF(H13=0,0,(COUNTIFS('Issue Log'!$B$6:$B$205,$G13,'Issue Log'!$J$6:$J$205,"Resolved")+COUNTIFS('Issue Log'!$B$6:$B$205,$G13,'Issue Log'!$J$6:$J$205,"Closed"))/H13))</f>
        <v/>
      </c>
    </row>
    <row r="14" customFormat="false" ht="15" hidden="false" customHeight="false" outlineLevel="0" collapsed="false">
      <c r="A14" s="3" t="s">
        <v>61</v>
      </c>
      <c r="B14" s="3" t="s">
        <v>48</v>
      </c>
      <c r="D14" s="3" t="s">
        <v>62</v>
      </c>
      <c r="E14" s="3" t="s">
        <v>48</v>
      </c>
      <c r="G14" s="13" t="str">
        <f aca="false">IF(Projects!A14="","",Projects!A14)</f>
        <v/>
      </c>
      <c r="H14" s="14" t="str">
        <f aca="false">IF($G14="","",COUNTIFS('Issue Log'!$B$6:$B$205,$G14,'Issue Log'!$C$6:$C$205,"&lt;&gt;"))</f>
        <v/>
      </c>
      <c r="I14" s="14" t="str">
        <f aca="false">IF($G14="","",SUMPRODUCT((('Issue Log'!$B$6:$B$205=$G14)*('Issue Log'!$C$6:$C$205&lt;&gt;""))*('Issue Log'!$J$6:$J$205&lt;&gt;"Resolved")*('Issue Log'!$J$6:$J$205&lt;&gt;"Closed")*('Issue Log'!$J$6:$J$205&lt;&gt;"Won't Fix")))</f>
        <v/>
      </c>
      <c r="J14" s="14" t="str">
        <f aca="false">IF($G14="","",SUMPRODUCT((('Issue Log'!$B$6:$B$205=$G14)*('Issue Log'!$C$6:$C$205&lt;&gt;""))*(('Issue Log'!$H$6:$H$205="Critical")+('Issue Log'!$H$6:$H$205="High"))*('Issue Log'!$J$6:$J$205&lt;&gt;"Resolved")*('Issue Log'!$J$6:$J$205&lt;&gt;"Closed")*('Issue Log'!$J$6:$J$205&lt;&gt;"Won't Fix")))</f>
        <v/>
      </c>
      <c r="K14" s="14" t="str">
        <f aca="true">IF($G14="","",SUMPRODUCT((('Issue Log'!$B$6:$B$205=$G14)*('Issue Log'!$C$6:$C$205&lt;&gt;""))*('Issue Log'!$S$6:$S$205&lt;&gt;"")*('Issue Log'!$S$6:$S$205&lt;TODAY())*('Issue Log'!$T$6:$T$205="")*('Issue Log'!$J$6:$J$205&lt;&gt;"Resolved")*('Issue Log'!$J$6:$J$205&lt;&gt;"Closed")*('Issue Log'!$J$6:$J$205&lt;&gt;"Won't Fix")))</f>
        <v/>
      </c>
      <c r="L14" s="15" t="str">
        <f aca="false">IF($G14="","",IF(H14=0,0,(COUNTIFS('Issue Log'!$B$6:$B$205,$G14,'Issue Log'!$J$6:$J$205,"Resolved")+COUNTIFS('Issue Log'!$B$6:$B$205,$G14,'Issue Log'!$J$6:$J$205,"Closed"))/H14))</f>
        <v/>
      </c>
    </row>
    <row r="15" customFormat="false" ht="15" hidden="false" customHeight="false" outlineLevel="0" collapsed="false">
      <c r="A15" s="13" t="str">
        <f aca="false">Lists!E2</f>
        <v>New</v>
      </c>
      <c r="B15" s="14" t="n">
        <f aca="false">COUNTIFS('Issue Log'!$J$6:$J$205,A15,'Issue Log'!$B$6:$B$205,$D$3,'Issue Log'!$C$6:$C$205,"&lt;&gt;")</f>
        <v>0</v>
      </c>
      <c r="D15" s="13" t="str">
        <f aca="false">Lists!C2</f>
        <v>Critical</v>
      </c>
      <c r="E15" s="14" t="n">
        <f aca="false">COUNTIFS('Issue Log'!$H$6:$H$205,D15,'Issue Log'!$B$6:$B$205,$D$3,'Issue Log'!$C$6:$C$205,"&lt;&gt;")</f>
        <v>1</v>
      </c>
      <c r="G15" s="13" t="str">
        <f aca="false">IF(Projects!A15="","",Projects!A15)</f>
        <v/>
      </c>
      <c r="H15" s="14" t="str">
        <f aca="false">IF($G15="","",COUNTIFS('Issue Log'!$B$6:$B$205,$G15,'Issue Log'!$C$6:$C$205,"&lt;&gt;"))</f>
        <v/>
      </c>
      <c r="I15" s="14" t="str">
        <f aca="false">IF($G15="","",SUMPRODUCT((('Issue Log'!$B$6:$B$205=$G15)*('Issue Log'!$C$6:$C$205&lt;&gt;""))*('Issue Log'!$J$6:$J$205&lt;&gt;"Resolved")*('Issue Log'!$J$6:$J$205&lt;&gt;"Closed")*('Issue Log'!$J$6:$J$205&lt;&gt;"Won't Fix")))</f>
        <v/>
      </c>
      <c r="J15" s="14" t="str">
        <f aca="false">IF($G15="","",SUMPRODUCT((('Issue Log'!$B$6:$B$205=$G15)*('Issue Log'!$C$6:$C$205&lt;&gt;""))*(('Issue Log'!$H$6:$H$205="Critical")+('Issue Log'!$H$6:$H$205="High"))*('Issue Log'!$J$6:$J$205&lt;&gt;"Resolved")*('Issue Log'!$J$6:$J$205&lt;&gt;"Closed")*('Issue Log'!$J$6:$J$205&lt;&gt;"Won't Fix")))</f>
        <v/>
      </c>
      <c r="K15" s="14" t="str">
        <f aca="true">IF($G15="","",SUMPRODUCT((('Issue Log'!$B$6:$B$205=$G15)*('Issue Log'!$C$6:$C$205&lt;&gt;""))*('Issue Log'!$S$6:$S$205&lt;&gt;"")*('Issue Log'!$S$6:$S$205&lt;TODAY())*('Issue Log'!$T$6:$T$205="")*('Issue Log'!$J$6:$J$205&lt;&gt;"Resolved")*('Issue Log'!$J$6:$J$205&lt;&gt;"Closed")*('Issue Log'!$J$6:$J$205&lt;&gt;"Won't Fix")))</f>
        <v/>
      </c>
      <c r="L15" s="15" t="str">
        <f aca="false">IF($G15="","",IF(H15=0,0,(COUNTIFS('Issue Log'!$B$6:$B$205,$G15,'Issue Log'!$J$6:$J$205,"Resolved")+COUNTIFS('Issue Log'!$B$6:$B$205,$G15,'Issue Log'!$J$6:$J$205,"Closed"))/H15))</f>
        <v/>
      </c>
    </row>
    <row r="16" customFormat="false" ht="15" hidden="false" customHeight="false" outlineLevel="0" collapsed="false">
      <c r="A16" s="13" t="str">
        <f aca="false">Lists!E3</f>
        <v>Open</v>
      </c>
      <c r="B16" s="14" t="n">
        <f aca="false">COUNTIFS('Issue Log'!$J$6:$J$205,A16,'Issue Log'!$B$6:$B$205,$D$3,'Issue Log'!$C$6:$C$205,"&lt;&gt;")</f>
        <v>1</v>
      </c>
      <c r="D16" s="13" t="str">
        <f aca="false">Lists!C3</f>
        <v>High</v>
      </c>
      <c r="E16" s="14" t="n">
        <f aca="false">COUNTIFS('Issue Log'!$H$6:$H$205,D16,'Issue Log'!$B$6:$B$205,$D$3,'Issue Log'!$C$6:$C$205,"&lt;&gt;")</f>
        <v>0</v>
      </c>
      <c r="G16" s="13" t="str">
        <f aca="false">IF(Projects!A16="","",Projects!A16)</f>
        <v/>
      </c>
      <c r="H16" s="14" t="str">
        <f aca="false">IF($G16="","",COUNTIFS('Issue Log'!$B$6:$B$205,$G16,'Issue Log'!$C$6:$C$205,"&lt;&gt;"))</f>
        <v/>
      </c>
      <c r="I16" s="14" t="str">
        <f aca="false">IF($G16="","",SUMPRODUCT((('Issue Log'!$B$6:$B$205=$G16)*('Issue Log'!$C$6:$C$205&lt;&gt;""))*('Issue Log'!$J$6:$J$205&lt;&gt;"Resolved")*('Issue Log'!$J$6:$J$205&lt;&gt;"Closed")*('Issue Log'!$J$6:$J$205&lt;&gt;"Won't Fix")))</f>
        <v/>
      </c>
      <c r="J16" s="14" t="str">
        <f aca="false">IF($G16="","",SUMPRODUCT((('Issue Log'!$B$6:$B$205=$G16)*('Issue Log'!$C$6:$C$205&lt;&gt;""))*(('Issue Log'!$H$6:$H$205="Critical")+('Issue Log'!$H$6:$H$205="High"))*('Issue Log'!$J$6:$J$205&lt;&gt;"Resolved")*('Issue Log'!$J$6:$J$205&lt;&gt;"Closed")*('Issue Log'!$J$6:$J$205&lt;&gt;"Won't Fix")))</f>
        <v/>
      </c>
      <c r="K16" s="14" t="str">
        <f aca="true">IF($G16="","",SUMPRODUCT((('Issue Log'!$B$6:$B$205=$G16)*('Issue Log'!$C$6:$C$205&lt;&gt;""))*('Issue Log'!$S$6:$S$205&lt;&gt;"")*('Issue Log'!$S$6:$S$205&lt;TODAY())*('Issue Log'!$T$6:$T$205="")*('Issue Log'!$J$6:$J$205&lt;&gt;"Resolved")*('Issue Log'!$J$6:$J$205&lt;&gt;"Closed")*('Issue Log'!$J$6:$J$205&lt;&gt;"Won't Fix")))</f>
        <v/>
      </c>
      <c r="L16" s="15" t="str">
        <f aca="false">IF($G16="","",IF(H16=0,0,(COUNTIFS('Issue Log'!$B$6:$B$205,$G16,'Issue Log'!$J$6:$J$205,"Resolved")+COUNTIFS('Issue Log'!$B$6:$B$205,$G16,'Issue Log'!$J$6:$J$205,"Closed"))/H16))</f>
        <v/>
      </c>
    </row>
    <row r="17" customFormat="false" ht="15" hidden="false" customHeight="false" outlineLevel="0" collapsed="false">
      <c r="A17" s="13" t="str">
        <f aca="false">Lists!E4</f>
        <v>In Progress</v>
      </c>
      <c r="B17" s="14" t="n">
        <f aca="false">COUNTIFS('Issue Log'!$J$6:$J$205,A17,'Issue Log'!$B$6:$B$205,$D$3,'Issue Log'!$C$6:$C$205,"&lt;&gt;")</f>
        <v>0</v>
      </c>
      <c r="D17" s="13" t="str">
        <f aca="false">Lists!C4</f>
        <v>Medium</v>
      </c>
      <c r="E17" s="14" t="n">
        <f aca="false">COUNTIFS('Issue Log'!$H$6:$H$205,D17,'Issue Log'!$B$6:$B$205,$D$3,'Issue Log'!$C$6:$C$205,"&lt;&gt;")</f>
        <v>0</v>
      </c>
      <c r="G17" s="13" t="str">
        <f aca="false">IF(Projects!A17="","",Projects!A17)</f>
        <v/>
      </c>
      <c r="H17" s="14" t="str">
        <f aca="false">IF($G17="","",COUNTIFS('Issue Log'!$B$6:$B$205,$G17,'Issue Log'!$C$6:$C$205,"&lt;&gt;"))</f>
        <v/>
      </c>
      <c r="I17" s="14" t="str">
        <f aca="false">IF($G17="","",SUMPRODUCT((('Issue Log'!$B$6:$B$205=$G17)*('Issue Log'!$C$6:$C$205&lt;&gt;""))*('Issue Log'!$J$6:$J$205&lt;&gt;"Resolved")*('Issue Log'!$J$6:$J$205&lt;&gt;"Closed")*('Issue Log'!$J$6:$J$205&lt;&gt;"Won't Fix")))</f>
        <v/>
      </c>
      <c r="J17" s="14" t="str">
        <f aca="false">IF($G17="","",SUMPRODUCT((('Issue Log'!$B$6:$B$205=$G17)*('Issue Log'!$C$6:$C$205&lt;&gt;""))*(('Issue Log'!$H$6:$H$205="Critical")+('Issue Log'!$H$6:$H$205="High"))*('Issue Log'!$J$6:$J$205&lt;&gt;"Resolved")*('Issue Log'!$J$6:$J$205&lt;&gt;"Closed")*('Issue Log'!$J$6:$J$205&lt;&gt;"Won't Fix")))</f>
        <v/>
      </c>
      <c r="K17" s="14" t="str">
        <f aca="true">IF($G17="","",SUMPRODUCT((('Issue Log'!$B$6:$B$205=$G17)*('Issue Log'!$C$6:$C$205&lt;&gt;""))*('Issue Log'!$S$6:$S$205&lt;&gt;"")*('Issue Log'!$S$6:$S$205&lt;TODAY())*('Issue Log'!$T$6:$T$205="")*('Issue Log'!$J$6:$J$205&lt;&gt;"Resolved")*('Issue Log'!$J$6:$J$205&lt;&gt;"Closed")*('Issue Log'!$J$6:$J$205&lt;&gt;"Won't Fix")))</f>
        <v/>
      </c>
      <c r="L17" s="15" t="str">
        <f aca="false">IF($G17="","",IF(H17=0,0,(COUNTIFS('Issue Log'!$B$6:$B$205,$G17,'Issue Log'!$J$6:$J$205,"Resolved")+COUNTIFS('Issue Log'!$B$6:$B$205,$G17,'Issue Log'!$J$6:$J$205,"Closed"))/H17))</f>
        <v/>
      </c>
    </row>
    <row r="18" customFormat="false" ht="15" hidden="false" customHeight="false" outlineLevel="0" collapsed="false">
      <c r="A18" s="13" t="str">
        <f aca="false">Lists!E5</f>
        <v>In Review</v>
      </c>
      <c r="B18" s="14" t="n">
        <f aca="false">COUNTIFS('Issue Log'!$J$6:$J$205,A18,'Issue Log'!$B$6:$B$205,$D$3,'Issue Log'!$C$6:$C$205,"&lt;&gt;")</f>
        <v>0</v>
      </c>
      <c r="D18" s="13" t="str">
        <f aca="false">Lists!C5</f>
        <v>Low</v>
      </c>
      <c r="E18" s="14" t="n">
        <f aca="false">COUNTIFS('Issue Log'!$H$6:$H$205,D18,'Issue Log'!$B$6:$B$205,$D$3,'Issue Log'!$C$6:$C$205,"&lt;&gt;")</f>
        <v>0</v>
      </c>
      <c r="G18" s="13" t="str">
        <f aca="false">IF(Projects!A18="","",Projects!A18)</f>
        <v/>
      </c>
      <c r="H18" s="14" t="str">
        <f aca="false">IF($G18="","",COUNTIFS('Issue Log'!$B$6:$B$205,$G18,'Issue Log'!$C$6:$C$205,"&lt;&gt;"))</f>
        <v/>
      </c>
      <c r="I18" s="14" t="str">
        <f aca="false">IF($G18="","",SUMPRODUCT((('Issue Log'!$B$6:$B$205=$G18)*('Issue Log'!$C$6:$C$205&lt;&gt;""))*('Issue Log'!$J$6:$J$205&lt;&gt;"Resolved")*('Issue Log'!$J$6:$J$205&lt;&gt;"Closed")*('Issue Log'!$J$6:$J$205&lt;&gt;"Won't Fix")))</f>
        <v/>
      </c>
      <c r="J18" s="14" t="str">
        <f aca="false">IF($G18="","",SUMPRODUCT((('Issue Log'!$B$6:$B$205=$G18)*('Issue Log'!$C$6:$C$205&lt;&gt;""))*(('Issue Log'!$H$6:$H$205="Critical")+('Issue Log'!$H$6:$H$205="High"))*('Issue Log'!$J$6:$J$205&lt;&gt;"Resolved")*('Issue Log'!$J$6:$J$205&lt;&gt;"Closed")*('Issue Log'!$J$6:$J$205&lt;&gt;"Won't Fix")))</f>
        <v/>
      </c>
      <c r="K18" s="14" t="str">
        <f aca="true">IF($G18="","",SUMPRODUCT((('Issue Log'!$B$6:$B$205=$G18)*('Issue Log'!$C$6:$C$205&lt;&gt;""))*('Issue Log'!$S$6:$S$205&lt;&gt;"")*('Issue Log'!$S$6:$S$205&lt;TODAY())*('Issue Log'!$T$6:$T$205="")*('Issue Log'!$J$6:$J$205&lt;&gt;"Resolved")*('Issue Log'!$J$6:$J$205&lt;&gt;"Closed")*('Issue Log'!$J$6:$J$205&lt;&gt;"Won't Fix")))</f>
        <v/>
      </c>
      <c r="L18" s="15" t="str">
        <f aca="false">IF($G18="","",IF(H18=0,0,(COUNTIFS('Issue Log'!$B$6:$B$205,$G18,'Issue Log'!$J$6:$J$205,"Resolved")+COUNTIFS('Issue Log'!$B$6:$B$205,$G18,'Issue Log'!$J$6:$J$205,"Closed"))/H18))</f>
        <v/>
      </c>
    </row>
    <row r="19" customFormat="false" ht="15" hidden="false" customHeight="false" outlineLevel="0" collapsed="false">
      <c r="A19" s="13" t="str">
        <f aca="false">Lists!E6</f>
        <v>Ready for QA</v>
      </c>
      <c r="B19" s="14" t="n">
        <f aca="false">COUNTIFS('Issue Log'!$J$6:$J$205,A19,'Issue Log'!$B$6:$B$205,$D$3,'Issue Log'!$C$6:$C$205,"&lt;&gt;")</f>
        <v>0</v>
      </c>
      <c r="G19" s="13" t="str">
        <f aca="false">IF(Projects!A19="","",Projects!A19)</f>
        <v/>
      </c>
      <c r="H19" s="14" t="str">
        <f aca="false">IF($G19="","",COUNTIFS('Issue Log'!$B$6:$B$205,$G19,'Issue Log'!$C$6:$C$205,"&lt;&gt;"))</f>
        <v/>
      </c>
      <c r="I19" s="14" t="str">
        <f aca="false">IF($G19="","",SUMPRODUCT((('Issue Log'!$B$6:$B$205=$G19)*('Issue Log'!$C$6:$C$205&lt;&gt;""))*('Issue Log'!$J$6:$J$205&lt;&gt;"Resolved")*('Issue Log'!$J$6:$J$205&lt;&gt;"Closed")*('Issue Log'!$J$6:$J$205&lt;&gt;"Won't Fix")))</f>
        <v/>
      </c>
      <c r="J19" s="14" t="str">
        <f aca="false">IF($G19="","",SUMPRODUCT((('Issue Log'!$B$6:$B$205=$G19)*('Issue Log'!$C$6:$C$205&lt;&gt;""))*(('Issue Log'!$H$6:$H$205="Critical")+('Issue Log'!$H$6:$H$205="High"))*('Issue Log'!$J$6:$J$205&lt;&gt;"Resolved")*('Issue Log'!$J$6:$J$205&lt;&gt;"Closed")*('Issue Log'!$J$6:$J$205&lt;&gt;"Won't Fix")))</f>
        <v/>
      </c>
      <c r="K19" s="14" t="str">
        <f aca="true">IF($G19="","",SUMPRODUCT((('Issue Log'!$B$6:$B$205=$G19)*('Issue Log'!$C$6:$C$205&lt;&gt;""))*('Issue Log'!$S$6:$S$205&lt;&gt;"")*('Issue Log'!$S$6:$S$205&lt;TODAY())*('Issue Log'!$T$6:$T$205="")*('Issue Log'!$J$6:$J$205&lt;&gt;"Resolved")*('Issue Log'!$J$6:$J$205&lt;&gt;"Closed")*('Issue Log'!$J$6:$J$205&lt;&gt;"Won't Fix")))</f>
        <v/>
      </c>
      <c r="L19" s="15" t="str">
        <f aca="false">IF($G19="","",IF(H19=0,0,(COUNTIFS('Issue Log'!$B$6:$B$205,$G19,'Issue Log'!$J$6:$J$205,"Resolved")+COUNTIFS('Issue Log'!$B$6:$B$205,$G19,'Issue Log'!$J$6:$J$205,"Closed"))/H19))</f>
        <v/>
      </c>
    </row>
    <row r="20" customFormat="false" ht="15" hidden="false" customHeight="false" outlineLevel="0" collapsed="false">
      <c r="A20" s="13" t="str">
        <f aca="false">Lists!E7</f>
        <v>Resolved</v>
      </c>
      <c r="B20" s="14" t="n">
        <f aca="false">COUNTIFS('Issue Log'!$J$6:$J$205,A20,'Issue Log'!$B$6:$B$205,$D$3,'Issue Log'!$C$6:$C$205,"&lt;&gt;")</f>
        <v>0</v>
      </c>
      <c r="G20" s="13" t="str">
        <f aca="false">IF(Projects!A20="","",Projects!A20)</f>
        <v/>
      </c>
      <c r="H20" s="14" t="str">
        <f aca="false">IF($G20="","",COUNTIFS('Issue Log'!$B$6:$B$205,$G20,'Issue Log'!$C$6:$C$205,"&lt;&gt;"))</f>
        <v/>
      </c>
      <c r="I20" s="14" t="str">
        <f aca="false">IF($G20="","",SUMPRODUCT((('Issue Log'!$B$6:$B$205=$G20)*('Issue Log'!$C$6:$C$205&lt;&gt;""))*('Issue Log'!$J$6:$J$205&lt;&gt;"Resolved")*('Issue Log'!$J$6:$J$205&lt;&gt;"Closed")*('Issue Log'!$J$6:$J$205&lt;&gt;"Won't Fix")))</f>
        <v/>
      </c>
      <c r="J20" s="14" t="str">
        <f aca="false">IF($G20="","",SUMPRODUCT((('Issue Log'!$B$6:$B$205=$G20)*('Issue Log'!$C$6:$C$205&lt;&gt;""))*(('Issue Log'!$H$6:$H$205="Critical")+('Issue Log'!$H$6:$H$205="High"))*('Issue Log'!$J$6:$J$205&lt;&gt;"Resolved")*('Issue Log'!$J$6:$J$205&lt;&gt;"Closed")*('Issue Log'!$J$6:$J$205&lt;&gt;"Won't Fix")))</f>
        <v/>
      </c>
      <c r="K20" s="14" t="str">
        <f aca="true">IF($G20="","",SUMPRODUCT((('Issue Log'!$B$6:$B$205=$G20)*('Issue Log'!$C$6:$C$205&lt;&gt;""))*('Issue Log'!$S$6:$S$205&lt;&gt;"")*('Issue Log'!$S$6:$S$205&lt;TODAY())*('Issue Log'!$T$6:$T$205="")*('Issue Log'!$J$6:$J$205&lt;&gt;"Resolved")*('Issue Log'!$J$6:$J$205&lt;&gt;"Closed")*('Issue Log'!$J$6:$J$205&lt;&gt;"Won't Fix")))</f>
        <v/>
      </c>
      <c r="L20" s="15" t="str">
        <f aca="false">IF($G20="","",IF(H20=0,0,(COUNTIFS('Issue Log'!$B$6:$B$205,$G20,'Issue Log'!$J$6:$J$205,"Resolved")+COUNTIFS('Issue Log'!$B$6:$B$205,$G20,'Issue Log'!$J$6:$J$205,"Closed"))/H20))</f>
        <v/>
      </c>
    </row>
    <row r="21" customFormat="false" ht="15" hidden="false" customHeight="false" outlineLevel="0" collapsed="false">
      <c r="A21" s="13" t="str">
        <f aca="false">Lists!E8</f>
        <v>Closed</v>
      </c>
      <c r="B21" s="14" t="n">
        <f aca="false">COUNTIFS('Issue Log'!$J$6:$J$205,A21,'Issue Log'!$B$6:$B$205,$D$3,'Issue Log'!$C$6:$C$205,"&lt;&gt;")</f>
        <v>0</v>
      </c>
      <c r="G21" s="17" t="s">
        <v>63</v>
      </c>
      <c r="H21" s="14" t="n">
        <f aca="false">SUM(H6:H20)</f>
        <v>1</v>
      </c>
      <c r="I21" s="14" t="n">
        <f aca="false">SUM(I6:I20)</f>
        <v>1</v>
      </c>
      <c r="J21" s="14" t="n">
        <f aca="false">SUM(J6:J20)</f>
        <v>1</v>
      </c>
      <c r="K21" s="14" t="n">
        <f aca="false">SUM(K6:K20)</f>
        <v>0</v>
      </c>
    </row>
    <row r="22" customFormat="false" ht="15" hidden="false" customHeight="false" outlineLevel="0" collapsed="false">
      <c r="A22" s="13" t="str">
        <f aca="false">Lists!E9</f>
        <v>Reopened</v>
      </c>
      <c r="B22" s="14" t="n">
        <f aca="false">COUNTIFS('Issue Log'!$J$6:$J$205,A22,'Issue Log'!$B$6:$B$205,$D$3,'Issue Log'!$C$6:$C$205,"&lt;&gt;")</f>
        <v>0</v>
      </c>
    </row>
    <row r="23" customFormat="false" ht="15" hidden="false" customHeight="false" outlineLevel="0" collapsed="false">
      <c r="A23" s="13" t="str">
        <f aca="false">Lists!E10</f>
        <v>Won't Fix</v>
      </c>
      <c r="B23" s="14" t="n">
        <f aca="false">COUNTIFS('Issue Log'!$J$6:$J$205,A23,'Issue Log'!$B$6:$B$205,$D$3,'Issue Log'!$C$6:$C$205,"&lt;&gt;")</f>
        <v>0</v>
      </c>
    </row>
    <row r="26" customFormat="false" ht="15" hidden="false" customHeight="false" outlineLevel="0" collapsed="false">
      <c r="A26" s="3" t="s">
        <v>64</v>
      </c>
      <c r="B26" s="3" t="s">
        <v>48</v>
      </c>
      <c r="D26" s="3" t="s">
        <v>65</v>
      </c>
      <c r="E26" s="3" t="s">
        <v>48</v>
      </c>
    </row>
    <row r="27" customFormat="false" ht="15" hidden="false" customHeight="false" outlineLevel="0" collapsed="false">
      <c r="A27" s="13" t="str">
        <f aca="false">Lists!A2</f>
        <v>Android</v>
      </c>
      <c r="B27" s="14" t="n">
        <f aca="false">COUNTIFS('Issue Log'!$F$6:$F$205,A27,'Issue Log'!$B$6:$B$205,$D$3,'Issue Log'!$C$6:$C$205,"&lt;&gt;")</f>
        <v>1</v>
      </c>
      <c r="D27" s="13" t="str">
        <f aca="false">Lists!B2</f>
        <v>Bug</v>
      </c>
      <c r="E27" s="14" t="n">
        <f aca="false">COUNTIFS('Issue Log'!$G$6:$G$205,D27,'Issue Log'!$B$6:$B$205,$D$3,'Issue Log'!$C$6:$C$205,"&lt;&gt;")</f>
        <v>0</v>
      </c>
    </row>
    <row r="28" customFormat="false" ht="15" hidden="false" customHeight="false" outlineLevel="0" collapsed="false">
      <c r="A28" s="13" t="str">
        <f aca="false">Lists!A3</f>
        <v>iOS</v>
      </c>
      <c r="B28" s="14" t="n">
        <f aca="false">COUNTIFS('Issue Log'!$F$6:$F$205,A28,'Issue Log'!$B$6:$B$205,$D$3,'Issue Log'!$C$6:$C$205,"&lt;&gt;")</f>
        <v>0</v>
      </c>
      <c r="D28" s="13" t="str">
        <f aca="false">Lists!B3</f>
        <v>Crash</v>
      </c>
      <c r="E28" s="14" t="n">
        <f aca="false">COUNTIFS('Issue Log'!$G$6:$G$205,D28,'Issue Log'!$B$6:$B$205,$D$3,'Issue Log'!$C$6:$C$205,"&lt;&gt;")</f>
        <v>1</v>
      </c>
    </row>
    <row r="29" customFormat="false" ht="15" hidden="false" customHeight="false" outlineLevel="0" collapsed="false">
      <c r="A29" s="13" t="str">
        <f aca="false">Lists!A4</f>
        <v>Both</v>
      </c>
      <c r="B29" s="14" t="n">
        <f aca="false">COUNTIFS('Issue Log'!$F$6:$F$205,A29,'Issue Log'!$B$6:$B$205,$D$3,'Issue Log'!$C$6:$C$205,"&lt;&gt;")</f>
        <v>0</v>
      </c>
      <c r="D29" s="13" t="str">
        <f aca="false">Lists!B4</f>
        <v>UI/UX</v>
      </c>
      <c r="E29" s="14" t="n">
        <f aca="false">COUNTIFS('Issue Log'!$G$6:$G$205,D29,'Issue Log'!$B$6:$B$205,$D$3,'Issue Log'!$C$6:$C$205,"&lt;&gt;")</f>
        <v>0</v>
      </c>
    </row>
    <row r="30" customFormat="false" ht="15" hidden="false" customHeight="false" outlineLevel="0" collapsed="false">
      <c r="A30" s="13" t="str">
        <f aca="false">Lists!A5</f>
        <v>Backend/API</v>
      </c>
      <c r="B30" s="14" t="n">
        <f aca="false">COUNTIFS('Issue Log'!$F$6:$F$205,A30,'Issue Log'!$B$6:$B$205,$D$3,'Issue Log'!$C$6:$C$205,"&lt;&gt;")</f>
        <v>0</v>
      </c>
      <c r="D30" s="13" t="str">
        <f aca="false">Lists!B5</f>
        <v>Performance</v>
      </c>
      <c r="E30" s="14" t="n">
        <f aca="false">COUNTIFS('Issue Log'!$G$6:$G$205,D30,'Issue Log'!$B$6:$B$205,$D$3,'Issue Log'!$C$6:$C$205,"&lt;&gt;")</f>
        <v>0</v>
      </c>
    </row>
    <row r="31" customFormat="false" ht="15" hidden="false" customHeight="false" outlineLevel="0" collapsed="false">
      <c r="A31" s="13" t="str">
        <f aca="false">Lists!A6</f>
        <v>Web/Admin</v>
      </c>
      <c r="B31" s="14" t="n">
        <f aca="false">COUNTIFS('Issue Log'!$F$6:$F$205,A31,'Issue Log'!$B$6:$B$205,$D$3,'Issue Log'!$C$6:$C$205,"&lt;&gt;")</f>
        <v>0</v>
      </c>
      <c r="D31" s="13" t="str">
        <f aca="false">Lists!B6</f>
        <v>Security</v>
      </c>
      <c r="E31" s="14" t="n">
        <f aca="false">COUNTIFS('Issue Log'!$G$6:$G$205,D31,'Issue Log'!$B$6:$B$205,$D$3,'Issue Log'!$C$6:$C$205,"&lt;&gt;")</f>
        <v>0</v>
      </c>
    </row>
    <row r="32" customFormat="false" ht="15" hidden="false" customHeight="false" outlineLevel="0" collapsed="false">
      <c r="D32" s="13" t="str">
        <f aca="false">Lists!B7</f>
        <v>Data/Sync</v>
      </c>
      <c r="E32" s="14" t="n">
        <f aca="false">COUNTIFS('Issue Log'!$G$6:$G$205,D32,'Issue Log'!$B$6:$B$205,$D$3,'Issue Log'!$C$6:$C$205,"&lt;&gt;")</f>
        <v>0</v>
      </c>
    </row>
    <row r="33" customFormat="false" ht="15" hidden="false" customHeight="false" outlineLevel="0" collapsed="false">
      <c r="D33" s="13" t="str">
        <f aca="false">Lists!B8</f>
        <v>Feature Request</v>
      </c>
      <c r="E33" s="14" t="n">
        <f aca="false">COUNTIFS('Issue Log'!$G$6:$G$205,D33,'Issue Log'!$B$6:$B$205,$D$3,'Issue Log'!$C$6:$C$205,"&lt;&gt;")</f>
        <v>0</v>
      </c>
    </row>
    <row r="34" customFormat="false" ht="15" hidden="false" customHeight="false" outlineLevel="0" collapsed="false">
      <c r="D34" s="13" t="str">
        <f aca="false">Lists!B9</f>
        <v>Other</v>
      </c>
      <c r="E34" s="14" t="n">
        <f aca="false">COUNTIFS('Issue Log'!$G$6:$G$205,D34,'Issue Log'!$B$6:$B$205,$D$3,'Issue Log'!$C$6:$C$205,"&lt;&gt;")</f>
        <v>0</v>
      </c>
    </row>
    <row r="36" customFormat="false" ht="15" hidden="false" customHeight="false" outlineLevel="0" collapsed="false">
      <c r="A36" s="3" t="s">
        <v>66</v>
      </c>
      <c r="B36" s="3" t="s">
        <v>48</v>
      </c>
    </row>
    <row r="37" customFormat="false" ht="15" hidden="false" customHeight="false" outlineLevel="0" collapsed="false">
      <c r="A37" s="13" t="str">
        <f aca="false">Lists!D2</f>
        <v>P1</v>
      </c>
      <c r="B37" s="14" t="n">
        <f aca="false">COUNTIFS('Issue Log'!$I$6:$I$205,A37,'Issue Log'!$B$6:$B$205,$D$3,'Issue Log'!$C$6:$C$205,"&lt;&gt;")</f>
        <v>1</v>
      </c>
    </row>
    <row r="38" customFormat="false" ht="15" hidden="false" customHeight="false" outlineLevel="0" collapsed="false">
      <c r="A38" s="13" t="str">
        <f aca="false">Lists!D3</f>
        <v>P2</v>
      </c>
      <c r="B38" s="14" t="n">
        <f aca="false">COUNTIFS('Issue Log'!$I$6:$I$205,A38,'Issue Log'!$B$6:$B$205,$D$3,'Issue Log'!$C$6:$C$205,"&lt;&gt;")</f>
        <v>0</v>
      </c>
    </row>
    <row r="39" customFormat="false" ht="15" hidden="false" customHeight="false" outlineLevel="0" collapsed="false">
      <c r="A39" s="13" t="str">
        <f aca="false">Lists!D4</f>
        <v>P3</v>
      </c>
      <c r="B39" s="14" t="n">
        <f aca="false">COUNTIFS('Issue Log'!$I$6:$I$205,A39,'Issue Log'!$B$6:$B$205,$D$3,'Issue Log'!$C$6:$C$205,"&lt;&gt;")</f>
        <v>0</v>
      </c>
    </row>
    <row r="40" customFormat="false" ht="15" hidden="false" customHeight="false" outlineLevel="0" collapsed="false">
      <c r="A40" s="13" t="str">
        <f aca="false">Lists!D5</f>
        <v>P4</v>
      </c>
      <c r="B40" s="14" t="n">
        <f aca="false">COUNTIFS('Issue Log'!$I$6:$I$205,A40,'Issue Log'!$B$6:$B$205,$D$3,'Issue Log'!$C$6:$C$205,"&lt;&gt;")</f>
        <v>0</v>
      </c>
    </row>
  </sheetData>
  <mergeCells count="1">
    <mergeCell ref="B3:C3"/>
  </mergeCells>
  <dataValidations count="1">
    <dataValidation allowBlank="false" errorStyle="stop" operator="between" showDropDown="false" showErrorMessage="false" showInputMessage="false" sqref="B3" type="list">
      <formula1>OFFSET(Lists!$G$2,0,0,COUNTA(Projects!$A$6:$A$20)+1,1)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22"/>
    <col collapsed="false" customWidth="true" hidden="false" outlineLevel="0" max="4" min="4" style="0" width="14"/>
    <col collapsed="false" customWidth="true" hidden="false" outlineLevel="0" max="5" min="5" style="0" width="36"/>
  </cols>
  <sheetData>
    <row r="1" customFormat="false" ht="19.7" hidden="false" customHeight="false" outlineLevel="0" collapsed="false">
      <c r="A1" s="1" t="s">
        <v>67</v>
      </c>
    </row>
    <row r="2" customFormat="false" ht="15" hidden="false" customHeight="false" outlineLevel="0" collapsed="false">
      <c r="A2" s="2" t="s">
        <v>68</v>
      </c>
    </row>
    <row r="3" customFormat="false" ht="15" hidden="false" customHeight="false" outlineLevel="0" collapsed="false">
      <c r="A3" s="2" t="s">
        <v>69</v>
      </c>
    </row>
    <row r="5" customFormat="false" ht="15" hidden="false" customHeight="false" outlineLevel="0" collapsed="false">
      <c r="A5" s="3" t="s">
        <v>70</v>
      </c>
      <c r="B5" s="3" t="s">
        <v>71</v>
      </c>
      <c r="C5" s="3" t="s">
        <v>72</v>
      </c>
      <c r="D5" s="3" t="s">
        <v>73</v>
      </c>
      <c r="E5" s="3" t="s">
        <v>74</v>
      </c>
    </row>
    <row r="6" customFormat="false" ht="15" hidden="false" customHeight="false" outlineLevel="0" collapsed="false">
      <c r="A6" s="18" t="s">
        <v>26</v>
      </c>
      <c r="B6" s="18" t="s">
        <v>75</v>
      </c>
      <c r="C6" s="18" t="s">
        <v>76</v>
      </c>
      <c r="D6" s="19" t="n">
        <v>46247</v>
      </c>
      <c r="E6" s="18" t="s">
        <v>77</v>
      </c>
    </row>
    <row r="7" customFormat="false" ht="15" hidden="false" customHeight="false" outlineLevel="0" collapsed="false">
      <c r="A7" s="18"/>
      <c r="B7" s="18"/>
      <c r="C7" s="18"/>
      <c r="D7" s="19"/>
      <c r="E7" s="18"/>
    </row>
    <row r="8" customFormat="false" ht="15" hidden="false" customHeight="false" outlineLevel="0" collapsed="false">
      <c r="A8" s="18"/>
      <c r="B8" s="18"/>
      <c r="C8" s="18"/>
      <c r="D8" s="19"/>
      <c r="E8" s="18"/>
    </row>
    <row r="9" customFormat="false" ht="15" hidden="false" customHeight="false" outlineLevel="0" collapsed="false">
      <c r="A9" s="18"/>
      <c r="B9" s="18"/>
      <c r="C9" s="18"/>
      <c r="D9" s="19"/>
      <c r="E9" s="18"/>
    </row>
    <row r="10" customFormat="false" ht="15" hidden="false" customHeight="false" outlineLevel="0" collapsed="false">
      <c r="A10" s="18"/>
      <c r="B10" s="18"/>
      <c r="C10" s="18"/>
      <c r="D10" s="19"/>
      <c r="E10" s="18"/>
    </row>
    <row r="11" customFormat="false" ht="15" hidden="false" customHeight="false" outlineLevel="0" collapsed="false">
      <c r="A11" s="18"/>
      <c r="B11" s="18"/>
      <c r="C11" s="18"/>
      <c r="D11" s="19"/>
      <c r="E11" s="18"/>
    </row>
    <row r="12" customFormat="false" ht="15" hidden="false" customHeight="false" outlineLevel="0" collapsed="false">
      <c r="A12" s="18"/>
      <c r="B12" s="18"/>
      <c r="C12" s="18"/>
      <c r="D12" s="19"/>
      <c r="E12" s="18"/>
    </row>
    <row r="13" customFormat="false" ht="15" hidden="false" customHeight="false" outlineLevel="0" collapsed="false">
      <c r="A13" s="18"/>
      <c r="B13" s="18"/>
      <c r="C13" s="18"/>
      <c r="D13" s="19"/>
      <c r="E13" s="18"/>
    </row>
    <row r="14" customFormat="false" ht="15" hidden="false" customHeight="false" outlineLevel="0" collapsed="false">
      <c r="A14" s="18"/>
      <c r="B14" s="18"/>
      <c r="C14" s="18"/>
      <c r="D14" s="19"/>
      <c r="E14" s="18"/>
    </row>
    <row r="15" customFormat="false" ht="15" hidden="false" customHeight="false" outlineLevel="0" collapsed="false">
      <c r="A15" s="18"/>
      <c r="B15" s="18"/>
      <c r="C15" s="18"/>
      <c r="D15" s="19"/>
      <c r="E15" s="18"/>
    </row>
    <row r="16" customFormat="false" ht="15" hidden="false" customHeight="false" outlineLevel="0" collapsed="false">
      <c r="A16" s="18"/>
      <c r="B16" s="18"/>
      <c r="C16" s="18"/>
      <c r="D16" s="19"/>
      <c r="E16" s="18"/>
    </row>
    <row r="17" customFormat="false" ht="15" hidden="false" customHeight="false" outlineLevel="0" collapsed="false">
      <c r="A17" s="18"/>
      <c r="B17" s="18"/>
      <c r="C17" s="18"/>
      <c r="D17" s="19"/>
      <c r="E17" s="18"/>
    </row>
    <row r="18" customFormat="false" ht="15" hidden="false" customHeight="false" outlineLevel="0" collapsed="false">
      <c r="A18" s="18"/>
      <c r="B18" s="18"/>
      <c r="C18" s="18"/>
      <c r="D18" s="19"/>
      <c r="E18" s="18"/>
    </row>
    <row r="19" customFormat="false" ht="15" hidden="false" customHeight="false" outlineLevel="0" collapsed="false">
      <c r="A19" s="18"/>
      <c r="B19" s="18"/>
      <c r="C19" s="18"/>
      <c r="D19" s="19"/>
      <c r="E19" s="18"/>
    </row>
    <row r="20" customFormat="false" ht="15" hidden="false" customHeight="false" outlineLevel="0" collapsed="false">
      <c r="A20" s="18"/>
      <c r="B20" s="18"/>
      <c r="C20" s="18"/>
      <c r="D20" s="19"/>
      <c r="E20" s="18"/>
    </row>
  </sheetData>
  <dataValidations count="1">
    <dataValidation allowBlank="true" error="Code must be 1–6 characters" errorStyle="stop" operator="between" showDropDown="false" showErrorMessage="true" showInputMessage="false" sqref="B6:B20" type="textLength">
      <formula1>1</formula1>
      <formula2>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8"/>
    <col collapsed="false" customWidth="true" hidden="false" outlineLevel="0" max="7" min="7" style="0" width="26"/>
  </cols>
  <sheetData>
    <row r="1" customFormat="false" ht="26.85" hidden="false" customHeight="false" outlineLevel="0" collapsed="false">
      <c r="A1" s="3" t="s">
        <v>8</v>
      </c>
      <c r="B1" s="3" t="s">
        <v>9</v>
      </c>
      <c r="C1" s="3" t="s">
        <v>10</v>
      </c>
      <c r="D1" s="3" t="s">
        <v>11</v>
      </c>
      <c r="E1" s="3" t="s">
        <v>12</v>
      </c>
      <c r="G1" s="3" t="s">
        <v>78</v>
      </c>
      <c r="I1" s="20" t="s">
        <v>79</v>
      </c>
    </row>
    <row r="2" customFormat="false" ht="15" hidden="false" customHeight="false" outlineLevel="0" collapsed="false">
      <c r="A2" s="21" t="s">
        <v>30</v>
      </c>
      <c r="B2" s="21" t="s">
        <v>80</v>
      </c>
      <c r="C2" s="21" t="s">
        <v>32</v>
      </c>
      <c r="D2" s="21" t="s">
        <v>33</v>
      </c>
      <c r="E2" s="21" t="s">
        <v>81</v>
      </c>
      <c r="G2" s="21" t="s">
        <v>46</v>
      </c>
    </row>
    <row r="3" customFormat="false" ht="15" hidden="false" customHeight="false" outlineLevel="0" collapsed="false">
      <c r="A3" s="21" t="s">
        <v>82</v>
      </c>
      <c r="B3" s="21" t="s">
        <v>31</v>
      </c>
      <c r="C3" s="21" t="s">
        <v>83</v>
      </c>
      <c r="D3" s="21" t="s">
        <v>84</v>
      </c>
      <c r="E3" s="21" t="s">
        <v>34</v>
      </c>
      <c r="G3" s="21" t="str">
        <f aca="false">IF(Projects!A6="","",Projects!A6)</f>
        <v>My Mobile App</v>
      </c>
    </row>
    <row r="4" customFormat="false" ht="15" hidden="false" customHeight="false" outlineLevel="0" collapsed="false">
      <c r="A4" s="21" t="s">
        <v>85</v>
      </c>
      <c r="B4" s="21" t="s">
        <v>86</v>
      </c>
      <c r="C4" s="21" t="s">
        <v>87</v>
      </c>
      <c r="D4" s="21" t="s">
        <v>88</v>
      </c>
      <c r="E4" s="21" t="s">
        <v>89</v>
      </c>
      <c r="G4" s="21" t="str">
        <f aca="false">IF(Projects!A7="","",Projects!A7)</f>
        <v/>
      </c>
    </row>
    <row r="5" customFormat="false" ht="15" hidden="false" customHeight="false" outlineLevel="0" collapsed="false">
      <c r="A5" s="21" t="s">
        <v>90</v>
      </c>
      <c r="B5" s="21" t="s">
        <v>91</v>
      </c>
      <c r="C5" s="21" t="s">
        <v>92</v>
      </c>
      <c r="D5" s="21" t="s">
        <v>93</v>
      </c>
      <c r="E5" s="21" t="s">
        <v>94</v>
      </c>
      <c r="G5" s="21" t="str">
        <f aca="false">IF(Projects!A8="","",Projects!A8)</f>
        <v/>
      </c>
    </row>
    <row r="6" customFormat="false" ht="15" hidden="false" customHeight="false" outlineLevel="0" collapsed="false">
      <c r="A6" s="21" t="s">
        <v>95</v>
      </c>
      <c r="B6" s="21" t="s">
        <v>96</v>
      </c>
      <c r="E6" s="21" t="s">
        <v>97</v>
      </c>
      <c r="G6" s="21" t="str">
        <f aca="false">IF(Projects!A9="","",Projects!A9)</f>
        <v/>
      </c>
    </row>
    <row r="7" customFormat="false" ht="15" hidden="false" customHeight="false" outlineLevel="0" collapsed="false">
      <c r="B7" s="21" t="s">
        <v>98</v>
      </c>
      <c r="E7" s="21" t="s">
        <v>99</v>
      </c>
      <c r="G7" s="21" t="str">
        <f aca="false">IF(Projects!A10="","",Projects!A10)</f>
        <v/>
      </c>
    </row>
    <row r="8" customFormat="false" ht="15" hidden="false" customHeight="false" outlineLevel="0" collapsed="false">
      <c r="B8" s="21" t="s">
        <v>100</v>
      </c>
      <c r="E8" s="21" t="s">
        <v>101</v>
      </c>
      <c r="G8" s="21" t="str">
        <f aca="false">IF(Projects!A11="","",Projects!A11)</f>
        <v/>
      </c>
    </row>
    <row r="9" customFormat="false" ht="15" hidden="false" customHeight="false" outlineLevel="0" collapsed="false">
      <c r="B9" s="21" t="s">
        <v>102</v>
      </c>
      <c r="E9" s="21" t="s">
        <v>103</v>
      </c>
      <c r="G9" s="21" t="str">
        <f aca="false">IF(Projects!A12="","",Projects!A12)</f>
        <v/>
      </c>
    </row>
    <row r="10" customFormat="false" ht="15" hidden="false" customHeight="false" outlineLevel="0" collapsed="false">
      <c r="E10" s="21" t="s">
        <v>104</v>
      </c>
      <c r="G10" s="21" t="str">
        <f aca="false">IF(Projects!A13="","",Projects!A13)</f>
        <v/>
      </c>
    </row>
    <row r="11" customFormat="false" ht="15" hidden="false" customHeight="false" outlineLevel="0" collapsed="false">
      <c r="G11" s="21" t="str">
        <f aca="false">IF(Projects!A14="","",Projects!A14)</f>
        <v/>
      </c>
    </row>
    <row r="12" customFormat="false" ht="15" hidden="false" customHeight="false" outlineLevel="0" collapsed="false">
      <c r="G12" s="21" t="str">
        <f aca="false">IF(Projects!A15="","",Projects!A15)</f>
        <v/>
      </c>
    </row>
    <row r="13" customFormat="false" ht="15" hidden="false" customHeight="false" outlineLevel="0" collapsed="false">
      <c r="G13" s="21" t="str">
        <f aca="false">IF(Projects!A16="","",Projects!A16)</f>
        <v/>
      </c>
    </row>
    <row r="14" customFormat="false" ht="15" hidden="false" customHeight="false" outlineLevel="0" collapsed="false">
      <c r="G14" s="21" t="str">
        <f aca="false">IF(Projects!A17="","",Projects!A17)</f>
        <v/>
      </c>
    </row>
    <row r="15" customFormat="false" ht="15" hidden="false" customHeight="false" outlineLevel="0" collapsed="false">
      <c r="G15" s="21" t="str">
        <f aca="false">IF(Projects!A18="","",Projects!A18)</f>
        <v/>
      </c>
    </row>
    <row r="16" customFormat="false" ht="15" hidden="false" customHeight="false" outlineLevel="0" collapsed="false">
      <c r="G16" s="21" t="str">
        <f aca="false">IF(Projects!A19="","",Projects!A19)</f>
        <v/>
      </c>
    </row>
    <row r="17" customFormat="false" ht="15" hidden="false" customHeight="false" outlineLevel="0" collapsed="false">
      <c r="G17" s="21" t="str">
        <f aca="false">IF(Projects!A20="","",Projects!A20)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2026-10-12T11:35:48Z</dcterms:created>
  <dc:creator>openpyxl</dc:creator>
  <dc:description/>
  <dc:language>en-US</dc:language>
  <cp:lastModifiedBy/>
  <dcterms:modified xsi:type="dcterms:W3CDTF">2026-10-12T11:35:49Z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